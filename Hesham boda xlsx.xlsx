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D1BCBE05-C2AD-4E9F-ACCD-CEAAC6DF3A72}" xr6:coauthVersionLast="47" xr6:coauthVersionMax="47" xr10:uidLastSave="{00000000-0000-0000-0000-000000000000}"/>
  <bookViews>
    <workbookView xWindow="-110" yWindow="-110" windowWidth="19420" windowHeight="10300" xr2:uid="{9E23206D-398C-422A-9E22-8EE405B1B4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7" i="1" l="1"/>
  <c r="AF7" i="1"/>
  <c r="Z7" i="1"/>
  <c r="AG6" i="1"/>
  <c r="AF6" i="1"/>
  <c r="Z6" i="1"/>
  <c r="AG5" i="1"/>
  <c r="AF5" i="1"/>
  <c r="Z5" i="1"/>
  <c r="AG4" i="1"/>
  <c r="AF4" i="1"/>
  <c r="Z4" i="1"/>
  <c r="AG3" i="1"/>
  <c r="AF3" i="1"/>
  <c r="Z3" i="1"/>
  <c r="AG2" i="1"/>
  <c r="AF2" i="1"/>
  <c r="Z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Hamdy Bahgat, TAQA Gas</author>
  </authors>
  <commentList>
    <comment ref="D1" authorId="0" shapeId="0" xr:uid="{9E0B0650-44FC-4914-B03B-CD9E2A1345C7}">
      <text>
        <r>
          <rPr>
            <b/>
            <sz val="9"/>
            <color indexed="81"/>
            <rFont val="Tahoma"/>
            <family val="2"/>
          </rPr>
          <t>Hamdy Bahgat, TAQA Gas:</t>
        </r>
        <r>
          <rPr>
            <sz val="9"/>
            <color indexed="81"/>
            <rFont val="Tahoma"/>
            <family val="2"/>
          </rPr>
          <t xml:space="preserve">
ID Format is (TEXT)</t>
        </r>
      </text>
    </comment>
  </commentList>
</comments>
</file>

<file path=xl/sharedStrings.xml><?xml version="1.0" encoding="utf-8"?>
<sst xmlns="http://schemas.openxmlformats.org/spreadsheetml/2006/main" count="230" uniqueCount="105">
  <si>
    <t>S.</t>
  </si>
  <si>
    <t>ASD</t>
  </si>
  <si>
    <t>Hiring Type</t>
  </si>
  <si>
    <t>ID</t>
  </si>
  <si>
    <t>Employee Name</t>
  </si>
  <si>
    <t>Job Post</t>
  </si>
  <si>
    <t>Jop Title</t>
  </si>
  <si>
    <t>Mangerial Level</t>
  </si>
  <si>
    <t xml:space="preserve">Job Tree </t>
  </si>
  <si>
    <t>Company
(Sector)</t>
  </si>
  <si>
    <t>Company</t>
  </si>
  <si>
    <t>Costed by 
(Company)</t>
  </si>
  <si>
    <t>Costed by 
(Sector)</t>
  </si>
  <si>
    <t>Locations</t>
  </si>
  <si>
    <t xml:space="preserve">Sub-Location </t>
  </si>
  <si>
    <t>Division</t>
  </si>
  <si>
    <t>Department</t>
  </si>
  <si>
    <t xml:space="preserve">Sub-Department </t>
  </si>
  <si>
    <t xml:space="preserve">Qalaa Department </t>
  </si>
  <si>
    <t xml:space="preserve">Qalaa Group Functions </t>
  </si>
  <si>
    <t>Skilled / Unskilled 
(Second Level)</t>
  </si>
  <si>
    <t>Company 
Level</t>
  </si>
  <si>
    <t>TAQA Level (Grade)</t>
  </si>
  <si>
    <t>Qalaa Job Group</t>
  </si>
  <si>
    <t>Start Date</t>
  </si>
  <si>
    <t>YOE</t>
  </si>
  <si>
    <t>Resignation Date</t>
  </si>
  <si>
    <t>Gender</t>
  </si>
  <si>
    <t>Employment Type</t>
  </si>
  <si>
    <t>Type of Contract</t>
  </si>
  <si>
    <t>Birth Date</t>
  </si>
  <si>
    <t>Birth Month</t>
  </si>
  <si>
    <t>Age</t>
  </si>
  <si>
    <t>National ID</t>
  </si>
  <si>
    <t>Mobile Numbers</t>
  </si>
  <si>
    <t>Insurance Number</t>
  </si>
  <si>
    <t>Bank Name</t>
  </si>
  <si>
    <t>Status</t>
  </si>
  <si>
    <t>Account Numbers</t>
  </si>
  <si>
    <t>Floor</t>
  </si>
  <si>
    <t>Telephone Extension</t>
  </si>
  <si>
    <t>أســم الموظف بالعربية</t>
  </si>
  <si>
    <t>Email</t>
  </si>
  <si>
    <t>Manager</t>
  </si>
  <si>
    <t>DH</t>
  </si>
  <si>
    <t>500021</t>
  </si>
  <si>
    <t>Ahmed Mohamed Saleh</t>
  </si>
  <si>
    <t>Assistant Supervisor</t>
  </si>
  <si>
    <t>Foreman</t>
  </si>
  <si>
    <t>Second Level</t>
  </si>
  <si>
    <t>Technicians</t>
  </si>
  <si>
    <t>LDC</t>
  </si>
  <si>
    <t>Trans Gas</t>
  </si>
  <si>
    <t>Kafr El Sheikh</t>
  </si>
  <si>
    <t>Desouk – Emergency Center</t>
  </si>
  <si>
    <t>Technical</t>
  </si>
  <si>
    <t>Operations &amp; Maintenance</t>
  </si>
  <si>
    <t>Engineering</t>
  </si>
  <si>
    <t>Operational Function</t>
  </si>
  <si>
    <t>Skilled Labors</t>
  </si>
  <si>
    <t>Blue Collar</t>
  </si>
  <si>
    <t>Male</t>
  </si>
  <si>
    <t>Hired</t>
  </si>
  <si>
    <t>Permanent Contract</t>
  </si>
  <si>
    <t>01000086175</t>
  </si>
  <si>
    <t>NBE</t>
  </si>
  <si>
    <t>Personal</t>
  </si>
  <si>
    <t>3965001026952201010</t>
  </si>
  <si>
    <t>احمد محمد صالح</t>
  </si>
  <si>
    <t>Alaa Abd ElSadek</t>
  </si>
  <si>
    <t>500022</t>
  </si>
  <si>
    <t>Basem Mabrouk Shalaby</t>
  </si>
  <si>
    <t>Forman</t>
  </si>
  <si>
    <t>Qillin – Emergency Center</t>
  </si>
  <si>
    <t>01000085861</t>
  </si>
  <si>
    <t>Payroll</t>
  </si>
  <si>
    <t>-----------</t>
  </si>
  <si>
    <t>باسم مبروك شلبى</t>
  </si>
  <si>
    <t>500025</t>
  </si>
  <si>
    <t>Abdel Kareem Ibraheem Amer</t>
  </si>
  <si>
    <t>01000086174</t>
  </si>
  <si>
    <t>عبد الكريم ابراهيم عامر</t>
  </si>
  <si>
    <t>500037</t>
  </si>
  <si>
    <t>Nasser Ahmed Abd El Kader Farhat</t>
  </si>
  <si>
    <t>Technician</t>
  </si>
  <si>
    <t>Emergency</t>
  </si>
  <si>
    <t>01000097059</t>
  </si>
  <si>
    <t>ناصر احمد عبد القادر فرحات</t>
  </si>
  <si>
    <t>500051</t>
  </si>
  <si>
    <t>Mohamed Ahmed Abdel Aziz</t>
  </si>
  <si>
    <t>Senior Receptionist</t>
  </si>
  <si>
    <t>Senior Supervisor</t>
  </si>
  <si>
    <t xml:space="preserve">Front Office </t>
  </si>
  <si>
    <t>Kafr El Sheikh – Emergency Center</t>
  </si>
  <si>
    <t>Domestic Customer Service</t>
  </si>
  <si>
    <t>01000086284</t>
  </si>
  <si>
    <t>3965001015655301019</t>
  </si>
  <si>
    <t>محمد احمد عبد العزيز</t>
  </si>
  <si>
    <t>500080</t>
  </si>
  <si>
    <t>Ali Abdel Salam Ali Osman</t>
  </si>
  <si>
    <t>Emergency Fitter</t>
  </si>
  <si>
    <t>Hamoul – Emergency Center &amp; PRS</t>
  </si>
  <si>
    <t>01019409700</t>
  </si>
  <si>
    <t>3963010196314200018</t>
  </si>
  <si>
    <t>علي عبد السلام علي عثمان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</si>
</sst>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6" x14ac:knownFonts="1">
    <font>
      <sz val="11"/>
      <color theme="1"/>
      <name val="Aptos Narrow"/>
      <family val="2"/>
      <scheme val="minor"/>
    </font>
    <font>
      <b/>
      <sz val="9"/>
      <color rgb="FFFFF3C9"/>
      <name val="Calibri"/>
      <family val="2"/>
    </font>
    <font>
      <b/>
      <sz val="8"/>
      <color rgb="FFFFF3C9"/>
      <name val="Calibri"/>
      <family val="2"/>
    </font>
    <font>
      <sz val="10"/>
      <color indexed="8"/>
      <name val="Arial"/>
      <family val="2"/>
    </font>
    <font>
      <b/>
      <sz val="8"/>
      <color rgb="FF6C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3" tint="-0.249977111117893"/>
      <name val="Aptos Narrow"/>
      <family val="2"/>
      <scheme val="minor"/>
    </font>
    <font>
      <b/>
      <sz val="8"/>
      <color theme="3" tint="-0.249977111117893"/>
      <name val="Calibri"/>
      <family val="2"/>
    </font>
    <font>
      <sz val="8"/>
      <color theme="3" tint="-0.249977111117893"/>
      <name val="Calibri"/>
      <family val="2"/>
    </font>
    <font>
      <sz val="8"/>
      <name val="Aptos Narrow"/>
      <family val="2"/>
      <scheme val="minor"/>
    </font>
    <font>
      <sz val="8"/>
      <color theme="3" tint="-0.249977111117893"/>
      <name val="Aptos Narrow"/>
      <family val="2"/>
      <scheme val="minor"/>
    </font>
    <font>
      <b/>
      <sz val="8"/>
      <color theme="9" tint="-0.499984740745262"/>
      <name val="Aptos Narrow"/>
      <family val="2"/>
      <scheme val="minor"/>
    </font>
    <font>
      <b/>
      <sz val="8"/>
      <color theme="3" tint="-0.249977111117893"/>
      <name val="Aptos Narrow"/>
      <family val="2"/>
      <scheme val="minor"/>
    </font>
    <font>
      <b/>
      <sz val="8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rgb="FF002060"/>
        <bgColor theme="0"/>
      </patternFill>
    </fill>
    <fill>
      <patternFill patternType="solid">
        <fgColor rgb="FFFF0000"/>
        <bgColor theme="0"/>
      </patternFill>
    </fill>
    <fill>
      <patternFill patternType="solid">
        <fgColor rgb="FFC00000"/>
        <bgColor theme="0"/>
      </patternFill>
    </fill>
    <fill>
      <patternFill patternType="solid">
        <fgColor rgb="FFFFEBEB"/>
        <bgColor indexed="0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theme="0"/>
      </patternFill>
    </fill>
    <fill>
      <patternFill patternType="solid">
        <fgColor rgb="FFFFF8DD"/>
        <bgColor indexed="64"/>
      </patternFill>
    </fill>
    <fill>
      <patternFill patternType="solid">
        <fgColor rgb="FFFFF6DD"/>
        <bgColor indexed="64"/>
      </patternFill>
    </fill>
    <fill>
      <patternFill patternType="solid">
        <fgColor rgb="FFFFFFEB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9E5"/>
        <bgColor theme="0"/>
      </patternFill>
    </fill>
    <fill>
      <patternFill patternType="solid">
        <fgColor theme="9" tint="0.59999389629810485"/>
        <bgColor theme="0"/>
      </patternFill>
    </fill>
    <fill>
      <patternFill patternType="solid">
        <fgColor rgb="FFFFF7F7"/>
        <bgColor indexed="0"/>
      </patternFill>
    </fill>
  </fills>
  <borders count="2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3" fillId="0" borderId="0"/>
  </cellStyleXfs>
  <cellXfs count="25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49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49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4" fillId="5" borderId="1" xfId="1" applyNumberFormat="1" applyFont="1" applyFill="1" applyBorder="1" applyAlignment="1" applyProtection="1">
      <alignment horizontal="center" vertical="center" wrapText="1"/>
      <protection locked="0"/>
    </xf>
    <xf numFmtId="1" fontId="4" fillId="5" borderId="1" xfId="1" applyNumberFormat="1" applyFont="1" applyFill="1" applyBorder="1" applyAlignment="1" applyProtection="1">
      <alignment horizontal="center" vertical="center" wrapText="1"/>
      <protection locked="0"/>
    </xf>
    <xf numFmtId="1" fontId="5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5" fillId="7" borderId="1" xfId="0" applyFont="1" applyFill="1" applyBorder="1" applyAlignment="1" applyProtection="1">
      <alignment horizontal="center" vertical="center"/>
      <protection locked="0"/>
    </xf>
    <xf numFmtId="49" fontId="6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 applyProtection="1">
      <alignment horizontal="center" vertical="center" wrapText="1"/>
      <protection locked="0"/>
    </xf>
    <xf numFmtId="0" fontId="8" fillId="10" borderId="1" xfId="1" applyFont="1" applyFill="1" applyBorder="1" applyAlignment="1" applyProtection="1">
      <alignment horizontal="center" vertical="center" wrapText="1"/>
      <protection locked="0"/>
    </xf>
    <xf numFmtId="0" fontId="8" fillId="11" borderId="1" xfId="1" applyFont="1" applyFill="1" applyBorder="1" applyAlignment="1" applyProtection="1">
      <alignment horizontal="center" vertical="center" wrapText="1"/>
      <protection locked="0"/>
    </xf>
    <xf numFmtId="2" fontId="9" fillId="12" borderId="1" xfId="0" applyNumberFormat="1" applyFont="1" applyFill="1" applyBorder="1" applyAlignment="1" applyProtection="1">
      <alignment horizontal="center" vertical="center" wrapText="1"/>
      <protection locked="0"/>
    </xf>
    <xf numFmtId="164" fontId="10" fillId="13" borderId="1" xfId="0" applyNumberFormat="1" applyFont="1" applyFill="1" applyBorder="1" applyAlignment="1" applyProtection="1">
      <alignment horizontal="center" vertical="center"/>
      <protection locked="0"/>
    </xf>
    <xf numFmtId="2" fontId="11" fillId="14" borderId="1" xfId="0" applyNumberFormat="1" applyFont="1" applyFill="1" applyBorder="1" applyAlignment="1" applyProtection="1">
      <alignment horizontal="center" vertical="center"/>
      <protection locked="0"/>
    </xf>
    <xf numFmtId="49" fontId="11" fillId="4" borderId="1" xfId="0" applyNumberFormat="1" applyFont="1" applyFill="1" applyBorder="1" applyAlignment="1" applyProtection="1">
      <alignment horizontal="center" vertical="center"/>
      <protection locked="0"/>
    </xf>
    <xf numFmtId="164" fontId="12" fillId="13" borderId="1" xfId="0" applyNumberFormat="1" applyFont="1" applyFill="1" applyBorder="1" applyAlignment="1" applyProtection="1">
      <alignment horizontal="center" vertical="center"/>
      <protection locked="0"/>
    </xf>
    <xf numFmtId="1" fontId="6" fillId="13" borderId="1" xfId="0" applyNumberFormat="1" applyFont="1" applyFill="1" applyBorder="1" applyAlignment="1" applyProtection="1">
      <alignment horizontal="center" vertical="center"/>
      <protection locked="0"/>
    </xf>
    <xf numFmtId="1" fontId="12" fillId="13" borderId="1" xfId="0" applyNumberFormat="1" applyFont="1" applyFill="1" applyBorder="1" applyAlignment="1" applyProtection="1">
      <alignment horizontal="center" vertical="center"/>
      <protection locked="0"/>
    </xf>
    <xf numFmtId="49" fontId="12" fillId="13" borderId="1" xfId="0" applyNumberFormat="1" applyFont="1" applyFill="1" applyBorder="1" applyAlignment="1" applyProtection="1">
      <alignment horizontal="center" vertical="center"/>
      <protection locked="0"/>
    </xf>
    <xf numFmtId="2" fontId="4" fillId="15" borderId="1" xfId="1" applyNumberFormat="1" applyFont="1" applyFill="1" applyBorder="1" applyAlignment="1" applyProtection="1">
      <alignment horizontal="center" vertical="center" wrapText="1"/>
      <protection locked="0"/>
    </xf>
    <xf numFmtId="1" fontId="13" fillId="0" borderId="1" xfId="0" applyNumberFormat="1" applyFont="1" applyBorder="1" applyAlignment="1" applyProtection="1">
      <alignment horizontal="center" vertical="center" wrapText="1"/>
      <protection locked="0"/>
    </xf>
    <xf numFmtId="2" fontId="9" fillId="0" borderId="1" xfId="0" applyNumberFormat="1" applyFont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_Sheet1" xfId="1" xr:uid="{845A3889-6427-4657-958B-976510FDC60D}"/>
  </cellStyles>
  <dxfs count="53">
    <dxf>
      <font>
        <color rgb="FFA365D1"/>
      </font>
      <fill>
        <patternFill patternType="solid">
          <fgColor indexed="64"/>
          <bgColor theme="1" tint="0.14996795556505021"/>
        </patternFill>
      </fill>
    </dxf>
    <dxf>
      <fill>
        <patternFill patternType="lightUp">
          <fgColor theme="0" tint="-0.14996795556505021"/>
        </patternFill>
      </fill>
    </dxf>
    <dxf>
      <fill>
        <patternFill patternType="lightDown">
          <fgColor rgb="FFB0CEDE"/>
        </patternFill>
      </fill>
    </dxf>
    <dxf>
      <font>
        <color theme="0"/>
      </font>
      <fill>
        <patternFill>
          <bgColor rgb="FF377B89"/>
        </patternFill>
      </fill>
    </dxf>
    <dxf>
      <font>
        <b/>
        <i val="0"/>
        <color theme="0"/>
      </font>
      <fill>
        <patternFill>
          <bgColor theme="8" tint="-0.499984740745262"/>
        </patternFill>
      </fill>
    </dxf>
    <dxf>
      <font>
        <color rgb="FFFF0000"/>
      </font>
    </dxf>
    <dxf>
      <font>
        <color theme="9" tint="-0.24994659260841701"/>
      </font>
    </dxf>
    <dxf>
      <font>
        <color rgb="FF7030A0"/>
      </font>
    </dxf>
    <dxf>
      <font>
        <color theme="8" tint="-0.24994659260841701"/>
      </font>
    </dxf>
    <dxf>
      <font>
        <color theme="7" tint="-0.24994659260841701"/>
      </font>
    </dxf>
    <dxf>
      <font>
        <color theme="4" tint="-0.24994659260841701"/>
      </font>
    </dxf>
    <dxf>
      <font>
        <color theme="7" tint="-0.24994659260841701"/>
      </font>
    </dxf>
    <dxf>
      <font>
        <color theme="4" tint="-0.24994659260841701"/>
      </font>
    </dxf>
    <dxf>
      <font>
        <color theme="7" tint="-0.24994659260841701"/>
      </font>
    </dxf>
    <dxf>
      <font>
        <color theme="4" tint="-0.24994659260841701"/>
      </font>
    </dxf>
    <dxf>
      <font>
        <color theme="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4" tint="-0.24994659260841701"/>
      </font>
    </dxf>
    <dxf>
      <font>
        <color theme="7" tint="-0.24994659260841701"/>
      </font>
    </dxf>
    <dxf>
      <font>
        <color theme="0"/>
      </font>
    </dxf>
    <dxf>
      <font>
        <color theme="8" tint="0.39994506668294322"/>
      </font>
      <fill>
        <patternFill>
          <fgColor auto="1"/>
        </patternFill>
      </fill>
    </dxf>
    <dxf>
      <font>
        <color theme="7" tint="-0.24994659260841701"/>
      </font>
    </dxf>
    <dxf>
      <font>
        <color rgb="FF00B050"/>
      </font>
    </dxf>
    <dxf>
      <font>
        <color theme="5" tint="-0.24994659260841701"/>
      </font>
    </dxf>
    <dxf>
      <font>
        <color theme="4" tint="-0.24994659260841701"/>
      </font>
    </dxf>
    <dxf>
      <font>
        <color theme="0"/>
      </font>
    </dxf>
    <dxf>
      <font>
        <color theme="7" tint="-0.24994659260841701"/>
      </font>
    </dxf>
    <dxf>
      <font>
        <color theme="7" tint="-0.24994659260841701"/>
      </font>
    </dxf>
    <dxf>
      <font>
        <color theme="0"/>
      </font>
    </dxf>
    <dxf>
      <font>
        <color theme="7" tint="-0.24994659260841701"/>
      </font>
    </dxf>
    <dxf>
      <font>
        <color rgb="FF00B050"/>
      </font>
    </dxf>
    <dxf>
      <font>
        <color theme="5" tint="-0.24994659260841701"/>
      </font>
    </dxf>
    <dxf>
      <font>
        <color theme="4" tint="-0.24994659260841701"/>
      </font>
    </dxf>
    <dxf>
      <font>
        <color theme="7" tint="-0.24994659260841701"/>
      </font>
    </dxf>
    <dxf>
      <font>
        <color theme="0"/>
      </font>
    </dxf>
    <dxf>
      <font>
        <color theme="8" tint="0.39994506668294322"/>
      </font>
      <fill>
        <patternFill>
          <fgColor auto="1"/>
        </patternFill>
      </fill>
    </dxf>
    <dxf>
      <font>
        <color theme="7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b val="0"/>
        <i val="0"/>
        <color rgb="FFD2A000"/>
      </font>
    </dxf>
    <dxf>
      <font>
        <color theme="3" tint="0.39994506668294322"/>
      </font>
    </dxf>
    <dxf>
      <font>
        <color theme="1" tint="0.499984740745262"/>
      </font>
    </dxf>
    <dxf>
      <font>
        <color theme="5" tint="0.3999450666829432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C000"/>
      </font>
      <fill>
        <patternFill>
          <bgColor theme="9" tint="-0.499984740745262"/>
        </patternFill>
      </fill>
    </dxf>
    <dxf>
      <font>
        <color theme="7" tint="-0.24994659260841701"/>
      </font>
    </dxf>
    <dxf>
      <font>
        <color rgb="FFA365D1"/>
      </font>
      <fill>
        <patternFill patternType="solid">
          <fgColor indexed="64"/>
          <bgColor theme="1" tint="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C0C2-AC62-4AF8-880A-4FD93B4195CC}">
  <dimension ref="A1:AR7"/>
  <sheetViews>
    <sheetView tabSelected="1" workbookViewId="0"/>
  </sheetViews>
  <sheetFormatPr defaultRowHeight="14.5" x14ac:dyDescent="0.35"/>
  <sheetData>
    <row r="1" spans="1:44" ht="42" x14ac:dyDescent="0.35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2" t="s">
        <v>14</v>
      </c>
      <c r="P1" s="1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4" t="s">
        <v>22</v>
      </c>
      <c r="X1" s="2" t="s">
        <v>23</v>
      </c>
      <c r="Y1" s="2" t="s">
        <v>24</v>
      </c>
      <c r="Z1" s="2" t="s">
        <v>25</v>
      </c>
      <c r="AA1" s="5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4" t="s">
        <v>35</v>
      </c>
      <c r="AK1" s="6" t="s">
        <v>36</v>
      </c>
      <c r="AL1" s="6" t="s">
        <v>37</v>
      </c>
      <c r="AM1" s="7" t="s">
        <v>38</v>
      </c>
      <c r="AN1" s="8" t="s">
        <v>39</v>
      </c>
      <c r="AO1" s="8" t="s">
        <v>40</v>
      </c>
      <c r="AP1" s="2" t="s">
        <v>41</v>
      </c>
      <c r="AQ1" s="2" t="s">
        <v>42</v>
      </c>
      <c r="AR1" s="1" t="s">
        <v>43</v>
      </c>
    </row>
    <row r="2" spans="1:44" ht="42" x14ac:dyDescent="0.35">
      <c r="A2" s="9">
        <v>1</v>
      </c>
      <c r="B2" s="9">
        <v>500021</v>
      </c>
      <c r="C2" s="9" t="s">
        <v>44</v>
      </c>
      <c r="D2" s="10" t="s">
        <v>45</v>
      </c>
      <c r="E2" s="11" t="s">
        <v>46</v>
      </c>
      <c r="F2" s="11" t="s">
        <v>47</v>
      </c>
      <c r="G2" s="11" t="s">
        <v>48</v>
      </c>
      <c r="H2" s="11" t="s">
        <v>49</v>
      </c>
      <c r="I2" s="11" t="s">
        <v>50</v>
      </c>
      <c r="J2" s="12" t="s">
        <v>51</v>
      </c>
      <c r="K2" s="13" t="s">
        <v>52</v>
      </c>
      <c r="L2" s="12" t="s">
        <v>52</v>
      </c>
      <c r="M2" s="12" t="s">
        <v>51</v>
      </c>
      <c r="N2" s="12" t="s">
        <v>53</v>
      </c>
      <c r="O2" s="12" t="s">
        <v>54</v>
      </c>
      <c r="P2" s="11" t="s">
        <v>55</v>
      </c>
      <c r="Q2" s="11" t="s">
        <v>55</v>
      </c>
      <c r="R2" s="11" t="s">
        <v>56</v>
      </c>
      <c r="S2" s="11" t="s">
        <v>57</v>
      </c>
      <c r="T2" s="11" t="s">
        <v>58</v>
      </c>
      <c r="U2" s="11" t="s">
        <v>59</v>
      </c>
      <c r="V2" s="14" t="s">
        <v>49</v>
      </c>
      <c r="W2" s="14" t="s">
        <v>60</v>
      </c>
      <c r="X2" s="14" t="s">
        <v>60</v>
      </c>
      <c r="Y2" s="15">
        <v>37712</v>
      </c>
      <c r="Z2" s="16" t="e">
        <f>($AG$1-Y2)/(30*12)</f>
        <v>#VALUE!</v>
      </c>
      <c r="AA2" s="17"/>
      <c r="AB2" s="11" t="s">
        <v>61</v>
      </c>
      <c r="AC2" s="11" t="s">
        <v>62</v>
      </c>
      <c r="AD2" s="11" t="s">
        <v>63</v>
      </c>
      <c r="AE2" s="18">
        <v>28864</v>
      </c>
      <c r="AF2" s="19">
        <f t="shared" ref="AF2:AF7" si="0">MONTH(AE2)</f>
        <v>1</v>
      </c>
      <c r="AG2" s="16" t="e">
        <f>($AG$1-AE2)/(30*12)</f>
        <v>#VALUE!</v>
      </c>
      <c r="AH2" s="20">
        <v>27901091602791</v>
      </c>
      <c r="AI2" s="21" t="s">
        <v>64</v>
      </c>
      <c r="AJ2" s="20">
        <v>0</v>
      </c>
      <c r="AK2" s="22" t="s">
        <v>65</v>
      </c>
      <c r="AL2" s="22" t="s">
        <v>66</v>
      </c>
      <c r="AM2" s="22" t="s">
        <v>67</v>
      </c>
      <c r="AN2" s="23"/>
      <c r="AO2" s="23"/>
      <c r="AP2" s="24" t="s">
        <v>68</v>
      </c>
      <c r="AQ2" s="24"/>
      <c r="AR2" s="24" t="s">
        <v>69</v>
      </c>
    </row>
    <row r="3" spans="1:44" ht="42" x14ac:dyDescent="0.35">
      <c r="A3" s="9">
        <v>2</v>
      </c>
      <c r="B3" s="9">
        <v>500022</v>
      </c>
      <c r="C3" s="9" t="s">
        <v>44</v>
      </c>
      <c r="D3" s="10" t="s">
        <v>70</v>
      </c>
      <c r="E3" s="11" t="s">
        <v>71</v>
      </c>
      <c r="F3" s="11" t="s">
        <v>72</v>
      </c>
      <c r="G3" s="11" t="s">
        <v>48</v>
      </c>
      <c r="H3" s="11" t="s">
        <v>49</v>
      </c>
      <c r="I3" s="11" t="s">
        <v>50</v>
      </c>
      <c r="J3" s="12" t="s">
        <v>51</v>
      </c>
      <c r="K3" s="13" t="s">
        <v>52</v>
      </c>
      <c r="L3" s="12" t="s">
        <v>52</v>
      </c>
      <c r="M3" s="12" t="s">
        <v>51</v>
      </c>
      <c r="N3" s="12" t="s">
        <v>53</v>
      </c>
      <c r="O3" s="12" t="s">
        <v>73</v>
      </c>
      <c r="P3" s="11" t="s">
        <v>55</v>
      </c>
      <c r="Q3" s="11" t="s">
        <v>55</v>
      </c>
      <c r="R3" s="11" t="s">
        <v>56</v>
      </c>
      <c r="S3" s="11" t="s">
        <v>57</v>
      </c>
      <c r="T3" s="11" t="s">
        <v>58</v>
      </c>
      <c r="U3" s="11" t="s">
        <v>59</v>
      </c>
      <c r="V3" s="14" t="s">
        <v>49</v>
      </c>
      <c r="W3" s="14" t="s">
        <v>60</v>
      </c>
      <c r="X3" s="14" t="s">
        <v>60</v>
      </c>
      <c r="Y3" s="15">
        <v>37591</v>
      </c>
      <c r="Z3" s="16" t="e">
        <f>($AG$1-Y3)/(30*12)</f>
        <v>#VALUE!</v>
      </c>
      <c r="AA3" s="17"/>
      <c r="AB3" s="11" t="s">
        <v>61</v>
      </c>
      <c r="AC3" s="11" t="s">
        <v>62</v>
      </c>
      <c r="AD3" s="11" t="s">
        <v>63</v>
      </c>
      <c r="AE3" s="18">
        <v>31020</v>
      </c>
      <c r="AF3" s="19">
        <f t="shared" si="0"/>
        <v>12</v>
      </c>
      <c r="AG3" s="16" t="e">
        <f>($AG$1-AE3)/(30*12)</f>
        <v>#VALUE!</v>
      </c>
      <c r="AH3" s="20">
        <v>28412041500931</v>
      </c>
      <c r="AI3" s="21" t="s">
        <v>74</v>
      </c>
      <c r="AJ3" s="20">
        <v>0</v>
      </c>
      <c r="AK3" s="22" t="s">
        <v>65</v>
      </c>
      <c r="AL3" s="22" t="s">
        <v>75</v>
      </c>
      <c r="AM3" s="22" t="s">
        <v>76</v>
      </c>
      <c r="AN3" s="23"/>
      <c r="AO3" s="23"/>
      <c r="AP3" s="24" t="s">
        <v>77</v>
      </c>
      <c r="AQ3" s="24"/>
      <c r="AR3" s="24" t="s">
        <v>69</v>
      </c>
    </row>
    <row r="4" spans="1:44" ht="42" x14ac:dyDescent="0.35">
      <c r="A4" s="9">
        <v>3</v>
      </c>
      <c r="B4" s="9">
        <v>500025</v>
      </c>
      <c r="C4" s="9" t="s">
        <v>44</v>
      </c>
      <c r="D4" s="10" t="s">
        <v>78</v>
      </c>
      <c r="E4" s="11" t="s">
        <v>79</v>
      </c>
      <c r="F4" s="11" t="s">
        <v>72</v>
      </c>
      <c r="G4" s="11" t="s">
        <v>48</v>
      </c>
      <c r="H4" s="11" t="s">
        <v>49</v>
      </c>
      <c r="I4" s="11" t="s">
        <v>50</v>
      </c>
      <c r="J4" s="12" t="s">
        <v>51</v>
      </c>
      <c r="K4" s="13" t="s">
        <v>52</v>
      </c>
      <c r="L4" s="12" t="s">
        <v>52</v>
      </c>
      <c r="M4" s="12" t="s">
        <v>51</v>
      </c>
      <c r="N4" s="12" t="s">
        <v>53</v>
      </c>
      <c r="O4" s="12" t="s">
        <v>54</v>
      </c>
      <c r="P4" s="11" t="s">
        <v>55</v>
      </c>
      <c r="Q4" s="11" t="s">
        <v>55</v>
      </c>
      <c r="R4" s="11" t="s">
        <v>56</v>
      </c>
      <c r="S4" s="11" t="s">
        <v>57</v>
      </c>
      <c r="T4" s="11" t="s">
        <v>58</v>
      </c>
      <c r="U4" s="11" t="s">
        <v>59</v>
      </c>
      <c r="V4" s="14" t="s">
        <v>49</v>
      </c>
      <c r="W4" s="14" t="s">
        <v>60</v>
      </c>
      <c r="X4" s="14" t="s">
        <v>60</v>
      </c>
      <c r="Y4" s="15">
        <v>37835</v>
      </c>
      <c r="Z4" s="16" t="e">
        <f>($AG$1-Y4)/(30*12)</f>
        <v>#VALUE!</v>
      </c>
      <c r="AA4" s="17"/>
      <c r="AB4" s="11" t="s">
        <v>61</v>
      </c>
      <c r="AC4" s="11" t="s">
        <v>62</v>
      </c>
      <c r="AD4" s="11" t="s">
        <v>63</v>
      </c>
      <c r="AE4" s="18">
        <v>28121</v>
      </c>
      <c r="AF4" s="19">
        <f t="shared" si="0"/>
        <v>12</v>
      </c>
      <c r="AG4" s="16" t="e">
        <f>($AG$1-AE4)/(30*12)</f>
        <v>#VALUE!</v>
      </c>
      <c r="AH4" s="20">
        <v>27612271600132</v>
      </c>
      <c r="AI4" s="21" t="s">
        <v>80</v>
      </c>
      <c r="AJ4" s="20">
        <v>0</v>
      </c>
      <c r="AK4" s="22" t="s">
        <v>65</v>
      </c>
      <c r="AL4" s="22" t="s">
        <v>75</v>
      </c>
      <c r="AM4" s="22" t="s">
        <v>76</v>
      </c>
      <c r="AN4" s="23"/>
      <c r="AO4" s="23"/>
      <c r="AP4" s="24" t="s">
        <v>81</v>
      </c>
      <c r="AQ4" s="24"/>
      <c r="AR4" s="24" t="s">
        <v>69</v>
      </c>
    </row>
    <row r="5" spans="1:44" ht="42" x14ac:dyDescent="0.35">
      <c r="A5" s="9">
        <v>4</v>
      </c>
      <c r="B5" s="9">
        <v>500037</v>
      </c>
      <c r="C5" s="9" t="s">
        <v>44</v>
      </c>
      <c r="D5" s="10" t="s">
        <v>82</v>
      </c>
      <c r="E5" s="11" t="s">
        <v>83</v>
      </c>
      <c r="F5" s="11" t="s">
        <v>47</v>
      </c>
      <c r="G5" s="11" t="s">
        <v>84</v>
      </c>
      <c r="H5" s="11" t="s">
        <v>49</v>
      </c>
      <c r="I5" s="11" t="s">
        <v>50</v>
      </c>
      <c r="J5" s="12" t="s">
        <v>51</v>
      </c>
      <c r="K5" s="13" t="s">
        <v>52</v>
      </c>
      <c r="L5" s="12" t="s">
        <v>52</v>
      </c>
      <c r="M5" s="12" t="s">
        <v>51</v>
      </c>
      <c r="N5" s="12" t="s">
        <v>53</v>
      </c>
      <c r="O5" s="12" t="s">
        <v>54</v>
      </c>
      <c r="P5" s="11" t="s">
        <v>55</v>
      </c>
      <c r="Q5" s="11" t="s">
        <v>55</v>
      </c>
      <c r="R5" s="11" t="s">
        <v>85</v>
      </c>
      <c r="S5" s="11" t="s">
        <v>57</v>
      </c>
      <c r="T5" s="11" t="s">
        <v>58</v>
      </c>
      <c r="U5" s="11" t="s">
        <v>59</v>
      </c>
      <c r="V5" s="14" t="s">
        <v>49</v>
      </c>
      <c r="W5" s="14" t="s">
        <v>60</v>
      </c>
      <c r="X5" s="14" t="s">
        <v>60</v>
      </c>
      <c r="Y5" s="15">
        <v>36281</v>
      </c>
      <c r="Z5" s="16" t="e">
        <f>($AG$1-Y5)/(30*12)</f>
        <v>#VALUE!</v>
      </c>
      <c r="AA5" s="17"/>
      <c r="AB5" s="11" t="s">
        <v>61</v>
      </c>
      <c r="AC5" s="11" t="s">
        <v>62</v>
      </c>
      <c r="AD5" s="11" t="s">
        <v>63</v>
      </c>
      <c r="AE5" s="18">
        <v>26994</v>
      </c>
      <c r="AF5" s="19">
        <f t="shared" si="0"/>
        <v>11</v>
      </c>
      <c r="AG5" s="16" t="e">
        <f>($AG$1-AE5)/(30*12)</f>
        <v>#VALUE!</v>
      </c>
      <c r="AH5" s="20">
        <v>27809151701251</v>
      </c>
      <c r="AI5" s="21" t="s">
        <v>86</v>
      </c>
      <c r="AJ5" s="20">
        <v>0</v>
      </c>
      <c r="AK5" s="22" t="s">
        <v>65</v>
      </c>
      <c r="AL5" s="22" t="s">
        <v>75</v>
      </c>
      <c r="AM5" s="22" t="s">
        <v>76</v>
      </c>
      <c r="AN5" s="23"/>
      <c r="AO5" s="23"/>
      <c r="AP5" s="24" t="s">
        <v>87</v>
      </c>
      <c r="AQ5" s="24"/>
      <c r="AR5" s="24" t="s">
        <v>69</v>
      </c>
    </row>
    <row r="6" spans="1:44" ht="42" x14ac:dyDescent="0.35">
      <c r="A6" s="9">
        <v>5</v>
      </c>
      <c r="B6" s="9">
        <v>500051</v>
      </c>
      <c r="C6" s="9" t="s">
        <v>44</v>
      </c>
      <c r="D6" s="10" t="s">
        <v>88</v>
      </c>
      <c r="E6" s="11" t="s">
        <v>89</v>
      </c>
      <c r="F6" s="11" t="s">
        <v>90</v>
      </c>
      <c r="G6" s="11" t="s">
        <v>91</v>
      </c>
      <c r="H6" s="11" t="s">
        <v>49</v>
      </c>
      <c r="I6" s="11" t="s">
        <v>92</v>
      </c>
      <c r="J6" s="12" t="s">
        <v>51</v>
      </c>
      <c r="K6" s="13" t="s">
        <v>52</v>
      </c>
      <c r="L6" s="12" t="s">
        <v>52</v>
      </c>
      <c r="M6" s="12" t="s">
        <v>51</v>
      </c>
      <c r="N6" s="12" t="s">
        <v>53</v>
      </c>
      <c r="O6" s="12" t="s">
        <v>93</v>
      </c>
      <c r="P6" s="11" t="s">
        <v>55</v>
      </c>
      <c r="Q6" s="11" t="s">
        <v>55</v>
      </c>
      <c r="R6" s="11" t="s">
        <v>94</v>
      </c>
      <c r="S6" s="11" t="s">
        <v>57</v>
      </c>
      <c r="T6" s="11" t="s">
        <v>58</v>
      </c>
      <c r="U6" s="11" t="s">
        <v>59</v>
      </c>
      <c r="V6" s="14" t="s">
        <v>49</v>
      </c>
      <c r="W6" s="14" t="s">
        <v>60</v>
      </c>
      <c r="X6" s="14" t="s">
        <v>60</v>
      </c>
      <c r="Y6" s="15">
        <v>38718</v>
      </c>
      <c r="Z6" s="16" t="e">
        <f>($AG$1-Y6)/(30*12)</f>
        <v>#VALUE!</v>
      </c>
      <c r="AA6" s="17"/>
      <c r="AB6" s="11" t="s">
        <v>61</v>
      </c>
      <c r="AC6" s="11" t="s">
        <v>62</v>
      </c>
      <c r="AD6" s="11" t="s">
        <v>63</v>
      </c>
      <c r="AE6" s="18">
        <v>31229</v>
      </c>
      <c r="AF6" s="19">
        <f t="shared" si="0"/>
        <v>7</v>
      </c>
      <c r="AG6" s="16" t="e">
        <f>($AG$1-AE6)/(30*12)</f>
        <v>#VALUE!</v>
      </c>
      <c r="AH6" s="20">
        <v>28507011600177</v>
      </c>
      <c r="AI6" s="21" t="s">
        <v>95</v>
      </c>
      <c r="AJ6" s="20">
        <v>0</v>
      </c>
      <c r="AK6" s="22" t="s">
        <v>65</v>
      </c>
      <c r="AL6" s="22" t="s">
        <v>66</v>
      </c>
      <c r="AM6" s="22" t="s">
        <v>96</v>
      </c>
      <c r="AN6" s="23"/>
      <c r="AO6" s="23"/>
      <c r="AP6" s="24" t="s">
        <v>97</v>
      </c>
      <c r="AQ6" s="24"/>
      <c r="AR6" s="24" t="s">
        <v>69</v>
      </c>
    </row>
    <row r="7" spans="1:44" ht="31.5" x14ac:dyDescent="0.35">
      <c r="A7" s="9">
        <v>6</v>
      </c>
      <c r="B7" s="9">
        <v>500080</v>
      </c>
      <c r="C7" s="9" t="s">
        <v>44</v>
      </c>
      <c r="D7" s="10" t="s">
        <v>98</v>
      </c>
      <c r="E7" s="11" t="s">
        <v>99</v>
      </c>
      <c r="F7" s="11" t="s">
        <v>100</v>
      </c>
      <c r="G7" s="11" t="s">
        <v>84</v>
      </c>
      <c r="H7" s="11" t="s">
        <v>49</v>
      </c>
      <c r="I7" s="11" t="s">
        <v>50</v>
      </c>
      <c r="J7" s="12" t="s">
        <v>51</v>
      </c>
      <c r="K7" s="13" t="s">
        <v>52</v>
      </c>
      <c r="L7" s="12" t="s">
        <v>52</v>
      </c>
      <c r="M7" s="12" t="s">
        <v>51</v>
      </c>
      <c r="N7" s="12" t="s">
        <v>53</v>
      </c>
      <c r="O7" s="12" t="s">
        <v>101</v>
      </c>
      <c r="P7" s="11" t="s">
        <v>55</v>
      </c>
      <c r="Q7" s="11" t="s">
        <v>55</v>
      </c>
      <c r="R7" s="11" t="s">
        <v>85</v>
      </c>
      <c r="S7" s="11" t="s">
        <v>57</v>
      </c>
      <c r="T7" s="11" t="s">
        <v>58</v>
      </c>
      <c r="U7" s="11" t="s">
        <v>59</v>
      </c>
      <c r="V7" s="14" t="s">
        <v>49</v>
      </c>
      <c r="W7" s="14" t="s">
        <v>60</v>
      </c>
      <c r="X7" s="14" t="s">
        <v>60</v>
      </c>
      <c r="Y7" s="15">
        <v>39217</v>
      </c>
      <c r="Z7" s="16" t="e">
        <f>($AG$1-Y7)/(30*12)</f>
        <v>#VALUE!</v>
      </c>
      <c r="AA7" s="17"/>
      <c r="AB7" s="11" t="s">
        <v>61</v>
      </c>
      <c r="AC7" s="11" t="s">
        <v>62</v>
      </c>
      <c r="AD7" s="11" t="s">
        <v>63</v>
      </c>
      <c r="AE7" s="18">
        <v>29254</v>
      </c>
      <c r="AF7" s="19">
        <f t="shared" si="0"/>
        <v>2</v>
      </c>
      <c r="AG7" s="16" t="e">
        <f>($AG$1-AE7)/(30*12)</f>
        <v>#VALUE!</v>
      </c>
      <c r="AH7" s="20">
        <v>28002031500531</v>
      </c>
      <c r="AI7" s="21" t="s">
        <v>102</v>
      </c>
      <c r="AJ7" s="20">
        <v>0</v>
      </c>
      <c r="AK7" s="22" t="s">
        <v>65</v>
      </c>
      <c r="AL7" s="22" t="s">
        <v>66</v>
      </c>
      <c r="AM7" s="22" t="s">
        <v>103</v>
      </c>
      <c r="AN7" s="23"/>
      <c r="AO7" s="23"/>
      <c r="AP7" s="24" t="s">
        <v>104</v>
      </c>
      <c r="AQ7" s="24"/>
      <c r="AR7" s="24" t="s">
        <v>69</v>
      </c>
    </row>
  </sheetData>
  <conditionalFormatting sqref="A1:P1 AK2:AR7 A2:AI7">
    <cfRule type="containsText" dxfId="52" priority="5" operator="containsText" text="C-level">
      <formula>NOT(ISERROR(SEARCH("C-level",A1)))</formula>
    </cfRule>
  </conditionalFormatting>
  <conditionalFormatting sqref="A1:P1 AK2:AR7 A2:AI7">
    <cfRule type="containsText" dxfId="51" priority="7" operator="containsText" text="Middle Management">
      <formula>NOT(ISERROR(SEARCH("Middle Management",A1)))</formula>
    </cfRule>
  </conditionalFormatting>
  <conditionalFormatting sqref="A1:AJ1 AP1:AR1">
    <cfRule type="cellIs" dxfId="50" priority="46" operator="equal">
      <formula>"CV"</formula>
    </cfRule>
  </conditionalFormatting>
  <conditionalFormatting sqref="D1:D7">
    <cfRule type="duplicateValues" dxfId="49" priority="51"/>
  </conditionalFormatting>
  <conditionalFormatting sqref="D1:D7">
    <cfRule type="duplicateValues" dxfId="48" priority="52"/>
  </conditionalFormatting>
  <conditionalFormatting sqref="D1:D7">
    <cfRule type="duplicateValues" dxfId="47" priority="53"/>
  </conditionalFormatting>
  <conditionalFormatting sqref="E1:E7">
    <cfRule type="duplicateValues" dxfId="46" priority="48"/>
    <cfRule type="duplicateValues" dxfId="45" priority="49"/>
    <cfRule type="duplicateValues" dxfId="44" priority="50"/>
  </conditionalFormatting>
  <conditionalFormatting sqref="E2:X7 AB2:AD7">
    <cfRule type="cellIs" dxfId="43" priority="22" operator="equal">
      <formula>"Female"</formula>
    </cfRule>
    <cfRule type="cellIs" dxfId="42" priority="23" operator="equal">
      <formula>"White Collars"</formula>
    </cfRule>
    <cfRule type="cellIs" dxfId="41" priority="24" operator="equal">
      <formula>"Workers"</formula>
    </cfRule>
    <cfRule type="cellIs" dxfId="40" priority="25" operator="equal">
      <formula>"Managers"</formula>
    </cfRule>
  </conditionalFormatting>
  <conditionalFormatting sqref="AK2:AR7 A1:P1 A2:AI7">
    <cfRule type="containsText" dxfId="39" priority="4" operator="containsText" text="Blue Collar">
      <formula>NOT(ISERROR(SEARCH("Blue Collar",A1)))</formula>
    </cfRule>
  </conditionalFormatting>
  <conditionalFormatting sqref="Q1:AR1">
    <cfRule type="containsText" dxfId="38" priority="21" operator="containsText" text="Blue Collar">
      <formula>NOT(ISERROR(SEARCH("Blue Collar",Q1)))</formula>
    </cfRule>
  </conditionalFormatting>
  <conditionalFormatting sqref="Q1:AR1">
    <cfRule type="containsText" dxfId="37" priority="26" operator="containsText" text="Middle Management">
      <formula>NOT(ISERROR(SEARCH("Middle Management",Q1)))</formula>
    </cfRule>
  </conditionalFormatting>
  <conditionalFormatting sqref="V1:V7">
    <cfRule type="containsText" dxfId="36" priority="38" operator="containsText" text="Casual Labour">
      <formula>NOT(ISERROR(SEARCH("Casual Labour",V1)))</formula>
    </cfRule>
    <cfRule type="containsText" dxfId="35" priority="41" operator="containsText" text="First Level">
      <formula>NOT(ISERROR(SEARCH("First Level",V1)))</formula>
    </cfRule>
    <cfRule type="containsText" dxfId="34" priority="44" operator="containsText" text="Top Management">
      <formula>NOT(ISERROR(SEARCH("Top Management",V1)))</formula>
    </cfRule>
    <cfRule type="containsText" dxfId="33" priority="45" operator="containsText" text="Second Level">
      <formula>NOT(ISERROR(SEARCH("Second Level",V1)))</formula>
    </cfRule>
  </conditionalFormatting>
  <conditionalFormatting sqref="V2:V7">
    <cfRule type="containsText" dxfId="32" priority="8" operator="containsText" text="Directors">
      <formula>NOT(ISERROR(SEARCH("Directors",V2)))</formula>
    </cfRule>
    <cfRule type="containsText" dxfId="31" priority="9" operator="containsText" text="GM">
      <formula>NOT(ISERROR(SEARCH("GM",V2)))</formula>
    </cfRule>
    <cfRule type="containsText" dxfId="30" priority="10" operator="containsText" text="Manager">
      <formula>NOT(ISERROR(SEARCH("Manager",V2)))</formula>
    </cfRule>
    <cfRule type="containsText" dxfId="29" priority="11" operator="containsText" text="White Collar">
      <formula>NOT(ISERROR(SEARCH("White Collar",V2)))</formula>
    </cfRule>
    <cfRule type="containsText" dxfId="28" priority="12" operator="containsText" text="C-level">
      <formula>NOT(ISERROR(SEARCH("C-level",V2)))</formula>
    </cfRule>
    <cfRule type="containsText" dxfId="27" priority="13" operator="containsText" text="Manager">
      <formula>NOT(ISERROR(SEARCH("Manager",V2)))</formula>
    </cfRule>
    <cfRule type="containsText" dxfId="26" priority="14" operator="containsText" text="White Collar">
      <formula>NOT(ISERROR(SEARCH("White Collar",V2)))</formula>
    </cfRule>
    <cfRule type="containsText" dxfId="25" priority="15" operator="containsText" text="Blue Collar">
      <formula>NOT(ISERROR(SEARCH("Blue Collar",V2)))</formula>
    </cfRule>
  </conditionalFormatting>
  <conditionalFormatting sqref="W1:W7">
    <cfRule type="containsText" dxfId="24" priority="2" operator="containsText" text="Directors">
      <formula>NOT(ISERROR(SEARCH("Directors",W1)))</formula>
    </cfRule>
    <cfRule type="containsText" dxfId="23" priority="3" operator="containsText" text="GM">
      <formula>NOT(ISERROR(SEARCH("GM",W1)))</formula>
    </cfRule>
  </conditionalFormatting>
  <conditionalFormatting sqref="W2:W7">
    <cfRule type="containsText" dxfId="22" priority="1" operator="containsText" text="Manager">
      <formula>NOT(ISERROR(SEARCH("Manager",W2)))</formula>
    </cfRule>
    <cfRule type="containsText" dxfId="21" priority="16" operator="containsText" text="Casual Labour">
      <formula>NOT(ISERROR(SEARCH("Casual Labour",W2)))</formula>
    </cfRule>
    <cfRule type="containsText" dxfId="20" priority="17" operator="containsText" text="First Level">
      <formula>NOT(ISERROR(SEARCH("First Level",W2)))</formula>
    </cfRule>
    <cfRule type="containsText" dxfId="19" priority="18" operator="containsText" text="Top Management">
      <formula>NOT(ISERROR(SEARCH("Top Management",W2)))</formula>
    </cfRule>
    <cfRule type="containsText" dxfId="18" priority="19" operator="containsText" text="Second Level">
      <formula>NOT(ISERROR(SEARCH("Second Level",W2)))</formula>
    </cfRule>
  </conditionalFormatting>
  <conditionalFormatting sqref="W1:X7">
    <cfRule type="containsText" dxfId="17" priority="32" operator="containsText" text="C-level">
      <formula>NOT(ISERROR(SEARCH("C-level",W1)))</formula>
    </cfRule>
    <cfRule type="containsText" dxfId="16" priority="33" operator="containsText" text="Manager">
      <formula>NOT(ISERROR(SEARCH("Manager",W1)))</formula>
    </cfRule>
  </conditionalFormatting>
  <conditionalFormatting sqref="W2:X7">
    <cfRule type="containsText" dxfId="15" priority="36" operator="containsText" text="White Collar">
      <formula>NOT(ISERROR(SEARCH("White Collar",W2)))</formula>
    </cfRule>
    <cfRule type="containsText" dxfId="14" priority="37" operator="containsText" text="Blue Collar">
      <formula>NOT(ISERROR(SEARCH("Blue Collar",W2)))</formula>
    </cfRule>
  </conditionalFormatting>
  <conditionalFormatting sqref="W1:X1">
    <cfRule type="containsText" dxfId="13" priority="34" operator="containsText" text="Top Management">
      <formula>NOT(ISERROR(SEARCH("Top Management",W1)))</formula>
    </cfRule>
    <cfRule type="containsText" dxfId="12" priority="35" operator="containsText" text="Second Level">
      <formula>NOT(ISERROR(SEARCH("Second Level",W1)))</formula>
    </cfRule>
  </conditionalFormatting>
  <conditionalFormatting sqref="X1">
    <cfRule type="containsText" dxfId="11" priority="42" operator="containsText" text="Top Management">
      <formula>NOT(ISERROR(SEARCH("Top Management",X1)))</formula>
    </cfRule>
    <cfRule type="containsText" dxfId="10" priority="43" operator="containsText" text="Second Level">
      <formula>NOT(ISERROR(SEARCH("Second Level",X1)))</formula>
    </cfRule>
  </conditionalFormatting>
  <conditionalFormatting sqref="X1:X7">
    <cfRule type="containsText" dxfId="9" priority="20" operator="containsText" text="Manager">
      <formula>NOT(ISERROR(SEARCH("Manager",X1)))</formula>
    </cfRule>
  </conditionalFormatting>
  <conditionalFormatting sqref="AK1:AL7">
    <cfRule type="containsText" dxfId="8" priority="28" operator="containsText" text="CIB">
      <formula>NOT(ISERROR(SEARCH("CIB",AK1)))</formula>
    </cfRule>
    <cfRule type="containsText" dxfId="7" priority="29" operator="containsText" text="QNB">
      <formula>NOT(ISERROR(SEARCH("QNB",AK1)))</formula>
    </cfRule>
    <cfRule type="containsText" dxfId="6" priority="30" operator="containsText" text="NBE">
      <formula>NOT(ISERROR(SEARCH("NBE",AK1)))</formula>
    </cfRule>
    <cfRule type="containsText" dxfId="5" priority="31" operator="containsText" text="HSBC">
      <formula>NOT(ISERROR(SEARCH("HSBC",AK1)))</formula>
    </cfRule>
  </conditionalFormatting>
  <conditionalFormatting sqref="AN1:AO1">
    <cfRule type="cellIs" dxfId="4" priority="40" operator="greaterThan">
      <formula>0</formula>
    </cfRule>
  </conditionalFormatting>
  <conditionalFormatting sqref="AN1:AO7">
    <cfRule type="cellIs" dxfId="3" priority="39" operator="greaterThanOrEqual">
      <formula>1</formula>
    </cfRule>
    <cfRule type="containsBlanks" dxfId="2" priority="47">
      <formula>LEN(TRIM(AN1))=0</formula>
    </cfRule>
  </conditionalFormatting>
  <conditionalFormatting sqref="AQ2:AQ7">
    <cfRule type="containsBlanks" dxfId="1" priority="6">
      <formula>LEN(TRIM(AQ2))=0</formula>
    </cfRule>
  </conditionalFormatting>
  <conditionalFormatting sqref="Q1:AR1">
    <cfRule type="containsText" dxfId="0" priority="27" operator="containsText" text="C-level">
      <formula>NOT(ISERROR(SEARCH("C-level",Q1)))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 Fangary, TAQA Gas</dc:creator>
  <cp:lastModifiedBy>Mohamed EL Fangary, TAQA Gas</cp:lastModifiedBy>
  <dcterms:created xsi:type="dcterms:W3CDTF">2026-09-29T12:04:37Z</dcterms:created>
  <dcterms:modified xsi:type="dcterms:W3CDTF">2026-09-29T12:06:02Z</dcterms:modified>
</cp:coreProperties>
</file>
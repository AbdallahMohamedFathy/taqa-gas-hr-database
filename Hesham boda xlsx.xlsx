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Aptos Narrow"/>
      <family val="2"/>
      <color theme="1"/>
      <sz val="11"/>
      <scheme val="minor"/>
    </font>
    <font>
      <name val="Calibri"/>
      <family val="2"/>
      <b val="1"/>
      <color rgb="FFFFF3C9"/>
      <sz val="9"/>
    </font>
    <font>
      <name val="Calibri"/>
      <family val="2"/>
      <b val="1"/>
      <color rgb="FFFFF3C9"/>
      <sz val="8"/>
    </font>
    <font>
      <name val="Arial"/>
      <family val="2"/>
      <color indexed="8"/>
      <sz val="10"/>
    </font>
    <font>
      <name val="Aptos Narrow"/>
      <family val="2"/>
      <b val="1"/>
      <color rgb="FF6C0000"/>
      <sz val="8"/>
      <scheme val="minor"/>
    </font>
    <font>
      <name val="Aptos Narrow"/>
      <family val="2"/>
      <b val="1"/>
      <color theme="0"/>
      <sz val="9"/>
      <scheme val="minor"/>
    </font>
    <font>
      <name val="Aptos Narrow"/>
      <family val="2"/>
      <b val="1"/>
      <color theme="3" tint="-0.249977111117893"/>
      <sz val="9"/>
      <scheme val="minor"/>
    </font>
    <font>
      <name val="Calibri"/>
      <family val="2"/>
      <b val="1"/>
      <color theme="3" tint="-0.249977111117893"/>
      <sz val="8"/>
    </font>
    <font>
      <name val="Calibri"/>
      <family val="2"/>
      <color theme="3" tint="-0.249977111117893"/>
      <sz val="8"/>
    </font>
    <font>
      <name val="Aptos Narrow"/>
      <family val="2"/>
      <sz val="8"/>
      <scheme val="minor"/>
    </font>
    <font>
      <name val="Aptos Narrow"/>
      <family val="2"/>
      <color theme="3" tint="-0.249977111117893"/>
      <sz val="8"/>
      <scheme val="minor"/>
    </font>
    <font>
      <name val="Aptos Narrow"/>
      <family val="2"/>
      <b val="1"/>
      <color theme="9" tint="-0.499984740745262"/>
      <sz val="8"/>
      <scheme val="minor"/>
    </font>
    <font>
      <name val="Aptos Narrow"/>
      <family val="2"/>
      <b val="1"/>
      <color theme="3" tint="-0.249977111117893"/>
      <sz val="8"/>
      <scheme val="minor"/>
    </font>
    <font>
      <name val="Aptos Narrow"/>
      <family val="2"/>
      <b val="1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6">
    <fill>
      <patternFill/>
    </fill>
    <fill>
      <patternFill patternType="gray125"/>
    </fill>
    <fill>
      <patternFill patternType="solid">
        <fgColor rgb="FF00206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C00000"/>
        <bgColor theme="0"/>
      </patternFill>
    </fill>
    <fill>
      <patternFill patternType="solid">
        <fgColor rgb="FFFFEBEB"/>
        <bgColor indexed="0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249977111117893"/>
        <bgColor theme="0"/>
      </patternFill>
    </fill>
    <fill>
      <patternFill patternType="solid">
        <fgColor rgb="FFFFF8DD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FFF9E5"/>
        <bgColor theme="0"/>
      </patternFill>
    </fill>
    <fill>
      <patternFill patternType="solid">
        <fgColor theme="9" tint="0.5999938962981048"/>
        <bgColor theme="0"/>
      </patternFill>
    </fill>
    <fill>
      <patternFill patternType="solid">
        <fgColor rgb="FFFFF7F7"/>
        <bgColor indexed="0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49" fontId="2" fillId="2" borderId="1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49" fontId="2" fillId="4" borderId="1" applyAlignment="1" applyProtection="1" pivotButton="0" quotePrefix="0" xfId="0">
      <alignment horizontal="center" vertical="center" wrapText="1"/>
      <protection locked="0" hidden="0"/>
    </xf>
    <xf numFmtId="2" fontId="4" fillId="5" borderId="1" applyAlignment="1" applyProtection="1" pivotButton="0" quotePrefix="0" xfId="1">
      <alignment horizontal="center" vertical="center" wrapText="1"/>
      <protection locked="0" hidden="0"/>
    </xf>
    <xf numFmtId="1" fontId="4" fillId="5" borderId="1" applyAlignment="1" applyProtection="1" pivotButton="0" quotePrefix="0" xfId="1">
      <alignment horizontal="center" vertical="center" wrapText="1"/>
      <protection locked="0" hidden="0"/>
    </xf>
    <xf numFmtId="1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center" vertical="center"/>
      <protection locked="0" hidden="0"/>
    </xf>
    <xf numFmtId="49" fontId="6" fillId="8" borderId="1" applyAlignment="1" pivotButton="0" quotePrefix="0" xfId="0">
      <alignment horizontal="center" vertical="center"/>
    </xf>
    <xf numFmtId="0" fontId="7" fillId="9" borderId="1" applyAlignment="1" applyProtection="1" pivotButton="0" quotePrefix="0" xfId="0">
      <alignment horizontal="center" vertical="center" wrapText="1"/>
      <protection locked="0" hidden="0"/>
    </xf>
    <xf numFmtId="0" fontId="8" fillId="10" borderId="1" applyAlignment="1" applyProtection="1" pivotButton="0" quotePrefix="0" xfId="1">
      <alignment horizontal="center" vertical="center" wrapText="1"/>
      <protection locked="0" hidden="0"/>
    </xf>
    <xf numFmtId="0" fontId="8" fillId="11" borderId="1" applyAlignment="1" applyProtection="1" pivotButton="0" quotePrefix="0" xfId="1">
      <alignment horizontal="center" vertical="center" wrapText="1"/>
      <protection locked="0" hidden="0"/>
    </xf>
    <xf numFmtId="2" fontId="9" fillId="12" borderId="1" applyAlignment="1" applyProtection="1" pivotButton="0" quotePrefix="0" xfId="0">
      <alignment horizontal="center" vertical="center" wrapText="1"/>
      <protection locked="0" hidden="0"/>
    </xf>
    <xf numFmtId="164" fontId="10" fillId="13" borderId="1" applyAlignment="1" applyProtection="1" pivotButton="0" quotePrefix="0" xfId="0">
      <alignment horizontal="center" vertical="center"/>
      <protection locked="0" hidden="0"/>
    </xf>
    <xf numFmtId="2" fontId="11" fillId="14" borderId="1" applyAlignment="1" applyProtection="1" pivotButton="0" quotePrefix="0" xfId="0">
      <alignment horizontal="center" vertical="center"/>
      <protection locked="0" hidden="0"/>
    </xf>
    <xf numFmtId="49" fontId="11" fillId="4" borderId="1" applyAlignment="1" applyProtection="1" pivotButton="0" quotePrefix="0" xfId="0">
      <alignment horizontal="center" vertical="center"/>
      <protection locked="0" hidden="0"/>
    </xf>
    <xf numFmtId="164" fontId="12" fillId="13" borderId="1" applyAlignment="1" applyProtection="1" pivotButton="0" quotePrefix="0" xfId="0">
      <alignment horizontal="center" vertical="center"/>
      <protection locked="0" hidden="0"/>
    </xf>
    <xf numFmtId="1" fontId="6" fillId="13" borderId="1" applyAlignment="1" applyProtection="1" pivotButton="0" quotePrefix="0" xfId="0">
      <alignment horizontal="center" vertical="center"/>
      <protection locked="0" hidden="0"/>
    </xf>
    <xf numFmtId="1" fontId="12" fillId="13" borderId="1" applyAlignment="1" applyProtection="1" pivotButton="0" quotePrefix="0" xfId="0">
      <alignment horizontal="center" vertical="center"/>
      <protection locked="0" hidden="0"/>
    </xf>
    <xf numFmtId="49" fontId="12" fillId="13" borderId="1" applyAlignment="1" applyProtection="1" pivotButton="0" quotePrefix="0" xfId="0">
      <alignment horizontal="center" vertical="center"/>
      <protection locked="0" hidden="0"/>
    </xf>
    <xf numFmtId="2" fontId="4" fillId="15" borderId="1" applyAlignment="1" applyProtection="1" pivotButton="0" quotePrefix="0" xfId="1">
      <alignment horizontal="center" vertical="center" wrapText="1"/>
      <protection locked="0" hidden="0"/>
    </xf>
    <xf numFmtId="1" fontId="13" fillId="0" borderId="1" applyAlignment="1" applyProtection="1" pivotButton="0" quotePrefix="0" xfId="0">
      <alignment horizontal="center" vertical="center" wrapText="1"/>
      <protection locked="0" hidden="0"/>
    </xf>
    <xf numFmtId="2" fontId="9" fillId="0" borderId="1" applyAlignment="1" applyProtection="1" pivotButton="0" quotePrefix="0" xfId="0">
      <alignment horizontal="center" vertical="center" wrapText="1"/>
      <protection locked="0" hidden="0"/>
    </xf>
  </cellXfs>
  <cellStyles count="2">
    <cellStyle name="Normal" xfId="0" builtinId="0"/>
    <cellStyle name="Normal_Sheet1" xfId="1"/>
  </cellStyles>
  <dxfs count="53">
    <dxf>
      <font>
        <color rgb="FFA365D1"/>
      </font>
      <fill>
        <patternFill patternType="solid">
          <fgColor indexed="64"/>
          <bgColor theme="1" tint="0.1499679555650502"/>
        </patternFill>
      </fill>
    </dxf>
    <dxf>
      <fill>
        <patternFill patternType="lightUp">
          <fgColor theme="0" tint="-0.1499679555650502"/>
        </patternFill>
      </fill>
    </dxf>
    <dxf>
      <fill>
        <patternFill patternType="lightDown">
          <fgColor rgb="FFB0CEDE"/>
        </patternFill>
      </fill>
    </dxf>
    <dxf>
      <font>
        <color theme="0"/>
      </font>
      <fill>
        <patternFill>
          <bgColor rgb="FF377B89"/>
        </patternFill>
      </fill>
    </dxf>
    <dxf>
      <font>
        <b val="1"/>
        <color theme="0"/>
      </font>
      <fill>
        <patternFill>
          <bgColor theme="8" tint="-0.499984740745262"/>
        </patternFill>
      </fill>
    </dxf>
    <dxf>
      <font>
        <color rgb="FFFF0000"/>
      </font>
    </dxf>
    <dxf>
      <font>
        <color theme="9" tint="-0.249946592608417"/>
      </font>
    </dxf>
    <dxf>
      <font>
        <color rgb="FF7030A0"/>
      </font>
    </dxf>
    <dxf>
      <font>
        <color theme="8" tint="-0.249946592608417"/>
      </font>
    </dxf>
    <dxf>
      <font>
        <color theme="7" tint="-0.249946592608417"/>
      </font>
    </dxf>
    <dxf>
      <font>
        <color theme="4" tint="-0.249946592608417"/>
      </font>
    </dxf>
    <dxf>
      <font>
        <color theme="7" tint="-0.249946592608417"/>
      </font>
    </dxf>
    <dxf>
      <font>
        <color theme="4" tint="-0.249946592608417"/>
      </font>
    </dxf>
    <dxf>
      <font>
        <color theme="7" tint="-0.249946592608417"/>
      </font>
    </dxf>
    <dxf>
      <font>
        <color theme="4" tint="-0.249946592608417"/>
      </font>
    </dxf>
    <dxf>
      <font>
        <color theme="0"/>
      </font>
    </dxf>
    <dxf>
      <font>
        <color theme="7" tint="-0.249946592608417"/>
      </font>
    </dxf>
    <dxf>
      <font>
        <color theme="7" tint="-0.249946592608417"/>
      </font>
    </dxf>
    <dxf>
      <font>
        <color theme="4" tint="-0.249946592608417"/>
      </font>
    </dxf>
    <dxf>
      <font>
        <color theme="7" tint="-0.249946592608417"/>
      </font>
    </dxf>
    <dxf>
      <font>
        <color theme="0"/>
      </font>
    </dxf>
    <dxf>
      <font>
        <color theme="8" tint="0.3999450666829432"/>
      </font>
      <fill>
        <patternFill>
          <fgColor auto="1"/>
        </patternFill>
      </fill>
    </dxf>
    <dxf>
      <font>
        <color theme="7" tint="-0.249946592608417"/>
      </font>
    </dxf>
    <dxf>
      <font>
        <color rgb="FF00B050"/>
      </font>
    </dxf>
    <dxf>
      <font>
        <color theme="5" tint="-0.249946592608417"/>
      </font>
    </dxf>
    <dxf>
      <font>
        <color theme="4" tint="-0.249946592608417"/>
      </font>
    </dxf>
    <dxf>
      <font>
        <color theme="0"/>
      </font>
    </dxf>
    <dxf>
      <font>
        <color theme="7" tint="-0.249946592608417"/>
      </font>
    </dxf>
    <dxf>
      <font>
        <color theme="7" tint="-0.249946592608417"/>
      </font>
    </dxf>
    <dxf>
      <font>
        <color theme="0"/>
      </font>
    </dxf>
    <dxf>
      <font>
        <color theme="7" tint="-0.249946592608417"/>
      </font>
    </dxf>
    <dxf>
      <font>
        <color rgb="FF00B050"/>
      </font>
    </dxf>
    <dxf>
      <font>
        <color theme="5" tint="-0.249946592608417"/>
      </font>
    </dxf>
    <dxf>
      <font>
        <color theme="4" tint="-0.249946592608417"/>
      </font>
    </dxf>
    <dxf>
      <font>
        <color theme="7" tint="-0.249946592608417"/>
      </font>
    </dxf>
    <dxf>
      <font>
        <color theme="0"/>
      </font>
    </dxf>
    <dxf>
      <font>
        <color theme="8" tint="0.3999450666829432"/>
      </font>
      <fill>
        <patternFill>
          <fgColor auto="1"/>
        </patternFill>
      </fill>
    </dxf>
    <dxf>
      <font>
        <color theme="7" tint="-0.249946592608417"/>
      </font>
    </dxf>
    <dxf>
      <font>
        <color theme="4" tint="-0.249946592608417"/>
      </font>
    </dxf>
    <dxf>
      <font>
        <color theme="4" tint="-0.249946592608417"/>
      </font>
    </dxf>
    <dxf>
      <font>
        <color rgb="FFD2A000"/>
      </font>
    </dxf>
    <dxf>
      <font>
        <color theme="3" tint="0.3999450666829432"/>
      </font>
    </dxf>
    <dxf>
      <font>
        <color theme="1" tint="0.499984740745262"/>
      </font>
    </dxf>
    <dxf>
      <font>
        <color theme="5" tint="0.399945066682943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9" tint="-0.499984740745262"/>
        </patternFill>
      </fill>
    </dxf>
    <dxf>
      <font>
        <color theme="7" tint="-0.249946592608417"/>
      </font>
    </dxf>
    <dxf>
      <font>
        <color rgb="FFA365D1"/>
      </font>
      <fill>
        <patternFill patternType="solid">
          <fgColor indexed="64"/>
          <bgColor theme="1" tint="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Hamdy Bahgat, TAQA Gas</author>
  </authors>
  <commentList>
    <comment ref="D1" authorId="0" shapeId="0">
      <text>
        <t>Hamdy Bahgat, TAQA Gas:
ID Format is (TEXT)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tabSelected="1" workbookViewId="0">
      <selection activeCell="A1" sqref="A1"/>
    </sheetView>
  </sheetViews>
  <sheetFormatPr baseColWidth="8" defaultRowHeight="14.5"/>
  <sheetData>
    <row r="1" ht="42" customHeight="1">
      <c r="A1" s="1" t="inlineStr">
        <is>
          <t>S.</t>
        </is>
      </c>
      <c r="B1" s="1" t="inlineStr">
        <is>
          <t>ASD</t>
        </is>
      </c>
      <c r="C1" s="2" t="inlineStr">
        <is>
          <t>Hiring Type</t>
        </is>
      </c>
      <c r="D1" s="3" t="inlineStr">
        <is>
          <t>ID</t>
        </is>
      </c>
      <c r="E1" s="1" t="inlineStr">
        <is>
          <t>Employee Name</t>
        </is>
      </c>
      <c r="F1" s="1" t="inlineStr">
        <is>
          <t>Job Post</t>
        </is>
      </c>
      <c r="G1" s="4" t="inlineStr">
        <is>
          <t>Jop Title</t>
        </is>
      </c>
      <c r="H1" s="4" t="inlineStr">
        <is>
          <t>Mangerial Level</t>
        </is>
      </c>
      <c r="I1" s="4" t="inlineStr">
        <is>
          <t xml:space="preserve">Job Tree </t>
        </is>
      </c>
      <c r="J1" s="2" t="inlineStr">
        <is>
          <t>Company
(Sector)</t>
        </is>
      </c>
      <c r="K1" s="1" t="inlineStr">
        <is>
          <t>Company</t>
        </is>
      </c>
      <c r="L1" s="2" t="inlineStr">
        <is>
          <t>Costed by 
(Company)</t>
        </is>
      </c>
      <c r="M1" s="2" t="inlineStr">
        <is>
          <t>Costed by 
(Sector)</t>
        </is>
      </c>
      <c r="N1" s="1" t="inlineStr">
        <is>
          <t>Locations</t>
        </is>
      </c>
      <c r="O1" s="2" t="inlineStr">
        <is>
          <t xml:space="preserve">Sub-Location </t>
        </is>
      </c>
      <c r="P1" s="1" t="inlineStr">
        <is>
          <t>Division</t>
        </is>
      </c>
      <c r="Q1" s="2" t="inlineStr">
        <is>
          <t>Department</t>
        </is>
      </c>
      <c r="R1" s="1" t="inlineStr">
        <is>
          <t xml:space="preserve">Sub-Department </t>
        </is>
      </c>
      <c r="S1" s="2" t="inlineStr">
        <is>
          <t xml:space="preserve">Qalaa Department </t>
        </is>
      </c>
      <c r="T1" s="2" t="inlineStr">
        <is>
          <t xml:space="preserve">Qalaa Group Functions </t>
        </is>
      </c>
      <c r="U1" s="2" t="inlineStr">
        <is>
          <t>Skilled / Unskilled 
(Second Level)</t>
        </is>
      </c>
      <c r="V1" s="2" t="inlineStr">
        <is>
          <t>Company 
Level</t>
        </is>
      </c>
      <c r="W1" s="4" t="inlineStr">
        <is>
          <t>TAQA Level (Grade)</t>
        </is>
      </c>
      <c r="X1" s="2" t="inlineStr">
        <is>
          <t>Qalaa Job Group</t>
        </is>
      </c>
      <c r="Y1" s="2" t="inlineStr">
        <is>
          <t>Start Date</t>
        </is>
      </c>
      <c r="Z1" s="2" t="inlineStr">
        <is>
          <t>YOE</t>
        </is>
      </c>
      <c r="AA1" s="5" t="inlineStr">
        <is>
          <t>Resignation Date</t>
        </is>
      </c>
      <c r="AB1" s="2" t="inlineStr">
        <is>
          <t>Gender</t>
        </is>
      </c>
      <c r="AC1" s="2" t="inlineStr">
        <is>
          <t>Employment Type</t>
        </is>
      </c>
      <c r="AD1" s="2" t="inlineStr">
        <is>
          <t>Type of Contract</t>
        </is>
      </c>
      <c r="AE1" s="2" t="inlineStr">
        <is>
          <t>Birth Date</t>
        </is>
      </c>
      <c r="AF1" s="2" t="inlineStr">
        <is>
          <t>Birth Month</t>
        </is>
      </c>
      <c r="AG1" s="2" t="inlineStr">
        <is>
          <t>Age</t>
        </is>
      </c>
      <c r="AH1" s="2" t="inlineStr">
        <is>
          <t>National ID</t>
        </is>
      </c>
      <c r="AI1" s="2" t="inlineStr">
        <is>
          <t>Mobile Numbers</t>
        </is>
      </c>
      <c r="AJ1" s="4" t="inlineStr">
        <is>
          <t>Insurance Number</t>
        </is>
      </c>
      <c r="AK1" s="6" t="inlineStr">
        <is>
          <t>Bank Name</t>
        </is>
      </c>
      <c r="AL1" s="6" t="inlineStr">
        <is>
          <t>Status</t>
        </is>
      </c>
      <c r="AM1" s="7" t="inlineStr">
        <is>
          <t>Account Numbers</t>
        </is>
      </c>
      <c r="AN1" s="8" t="inlineStr">
        <is>
          <t>Floor</t>
        </is>
      </c>
      <c r="AO1" s="8" t="inlineStr">
        <is>
          <t>Telephone Extension</t>
        </is>
      </c>
      <c r="AP1" s="2" t="inlineStr">
        <is>
          <t>أســم الموظف بالعربية</t>
        </is>
      </c>
      <c r="AQ1" s="2" t="inlineStr">
        <is>
          <t>Email</t>
        </is>
      </c>
      <c r="AR1" s="1" t="inlineStr">
        <is>
          <t>Manager</t>
        </is>
      </c>
    </row>
    <row r="2" ht="42" customHeight="1">
      <c r="A2" s="9" t="n">
        <v>1</v>
      </c>
      <c r="B2" s="9" t="n">
        <v>500021</v>
      </c>
      <c r="C2" s="9" t="inlineStr">
        <is>
          <t>DH</t>
        </is>
      </c>
      <c r="D2" s="10" t="inlineStr">
        <is>
          <t>500021</t>
        </is>
      </c>
      <c r="E2" s="11" t="inlineStr">
        <is>
          <t>Ahmed Mohamed Saleh</t>
        </is>
      </c>
      <c r="F2" s="11" t="inlineStr">
        <is>
          <t>Assistant Supervisor</t>
        </is>
      </c>
      <c r="G2" s="11" t="inlineStr">
        <is>
          <t>Foreman</t>
        </is>
      </c>
      <c r="H2" s="11" t="inlineStr">
        <is>
          <t>Second Level</t>
        </is>
      </c>
      <c r="I2" s="11" t="inlineStr">
        <is>
          <t>Technicians</t>
        </is>
      </c>
      <c r="J2" s="12" t="inlineStr">
        <is>
          <t>LDC</t>
        </is>
      </c>
      <c r="K2" s="13" t="inlineStr">
        <is>
          <t>Trans Gas</t>
        </is>
      </c>
      <c r="L2" s="12" t="inlineStr">
        <is>
          <t>Trans Gas</t>
        </is>
      </c>
      <c r="M2" s="12" t="inlineStr">
        <is>
          <t>LDC</t>
        </is>
      </c>
      <c r="N2" s="12" t="inlineStr">
        <is>
          <t>Kafr El Sheikh</t>
        </is>
      </c>
      <c r="O2" s="12" t="inlineStr">
        <is>
          <t>Desouk – Emergency Center</t>
        </is>
      </c>
      <c r="P2" s="11" t="inlineStr">
        <is>
          <t>Technical</t>
        </is>
      </c>
      <c r="Q2" s="11" t="inlineStr">
        <is>
          <t>Technical</t>
        </is>
      </c>
      <c r="R2" s="11" t="inlineStr">
        <is>
          <t>Operations &amp; Maintenance</t>
        </is>
      </c>
      <c r="S2" s="11" t="inlineStr">
        <is>
          <t>Engineering</t>
        </is>
      </c>
      <c r="T2" s="11" t="inlineStr">
        <is>
          <t>Operational Function</t>
        </is>
      </c>
      <c r="U2" s="11" t="inlineStr">
        <is>
          <t>Skilled Labors</t>
        </is>
      </c>
      <c r="V2" s="14" t="inlineStr">
        <is>
          <t>Second Level</t>
        </is>
      </c>
      <c r="W2" s="14" t="inlineStr">
        <is>
          <t>Blue Collar</t>
        </is>
      </c>
      <c r="X2" s="14" t="inlineStr">
        <is>
          <t>Blue Collar</t>
        </is>
      </c>
      <c r="Y2" s="15" t="n">
        <v>37712</v>
      </c>
      <c r="Z2" s="16">
        <f>IF(Y2="","",DATEDIF(Y2,IF(AA2&lt;&gt;"",AA2,TODAY()),"Y"))</f>
        <v/>
      </c>
      <c r="AA2" s="17" t="n"/>
      <c r="AB2" s="11" t="inlineStr">
        <is>
          <t>Male</t>
        </is>
      </c>
      <c r="AC2" s="11" t="inlineStr">
        <is>
          <t>Hired</t>
        </is>
      </c>
      <c r="AD2" s="11" t="inlineStr">
        <is>
          <t>Permanent Contract</t>
        </is>
      </c>
      <c r="AE2" s="18" t="n">
        <v>28864</v>
      </c>
      <c r="AF2" s="19">
        <f>MONTH(AE2)</f>
        <v/>
      </c>
      <c r="AG2" s="16">
        <f>IF(AE2="","",DATEDIF(AE2,TODAY(),"Y"))</f>
        <v/>
      </c>
      <c r="AH2" s="20" t="n">
        <v>27901091602791</v>
      </c>
      <c r="AI2" s="21" t="inlineStr">
        <is>
          <t>01000086175</t>
        </is>
      </c>
      <c r="AJ2" s="20" t="n">
        <v>0</v>
      </c>
      <c r="AK2" s="22" t="inlineStr">
        <is>
          <t>NBE</t>
        </is>
      </c>
      <c r="AL2" s="22" t="inlineStr">
        <is>
          <t>Personal</t>
        </is>
      </c>
      <c r="AM2" s="22" t="inlineStr">
        <is>
          <t>3965001026952201010</t>
        </is>
      </c>
      <c r="AN2" s="23" t="n"/>
      <c r="AO2" s="23" t="n"/>
      <c r="AP2" s="24" t="inlineStr">
        <is>
          <t>احمد محمد صالح</t>
        </is>
      </c>
      <c r="AQ2" s="24" t="n"/>
      <c r="AR2" s="24" t="inlineStr">
        <is>
          <t>Alaa Abd ElSadek</t>
        </is>
      </c>
    </row>
    <row r="3" ht="42" customHeight="1">
      <c r="A3" s="9" t="n">
        <v>2</v>
      </c>
      <c r="B3" s="9" t="n">
        <v>500022</v>
      </c>
      <c r="C3" s="9" t="inlineStr">
        <is>
          <t>DH</t>
        </is>
      </c>
      <c r="D3" s="10" t="inlineStr">
        <is>
          <t>500022</t>
        </is>
      </c>
      <c r="E3" s="11" t="inlineStr">
        <is>
          <t>Basem Mabrouk Shalaby</t>
        </is>
      </c>
      <c r="F3" s="11" t="inlineStr">
        <is>
          <t>Forman</t>
        </is>
      </c>
      <c r="G3" s="11" t="inlineStr">
        <is>
          <t>Foreman</t>
        </is>
      </c>
      <c r="H3" s="11" t="inlineStr">
        <is>
          <t>Second Level</t>
        </is>
      </c>
      <c r="I3" s="11" t="inlineStr">
        <is>
          <t>Technicians</t>
        </is>
      </c>
      <c r="J3" s="12" t="inlineStr">
        <is>
          <t>LDC</t>
        </is>
      </c>
      <c r="K3" s="13" t="inlineStr">
        <is>
          <t>Trans Gas</t>
        </is>
      </c>
      <c r="L3" s="12" t="inlineStr">
        <is>
          <t>Trans Gas</t>
        </is>
      </c>
      <c r="M3" s="12" t="inlineStr">
        <is>
          <t>LDC</t>
        </is>
      </c>
      <c r="N3" s="12" t="inlineStr">
        <is>
          <t>Kafr El Sheikh</t>
        </is>
      </c>
      <c r="O3" s="12" t="inlineStr">
        <is>
          <t>Qillin – Emergency Center</t>
        </is>
      </c>
      <c r="P3" s="11" t="inlineStr">
        <is>
          <t>Technical</t>
        </is>
      </c>
      <c r="Q3" s="11" t="inlineStr">
        <is>
          <t>Technical</t>
        </is>
      </c>
      <c r="R3" s="11" t="inlineStr">
        <is>
          <t>Operations &amp; Maintenance</t>
        </is>
      </c>
      <c r="S3" s="11" t="inlineStr">
        <is>
          <t>Engineering</t>
        </is>
      </c>
      <c r="T3" s="11" t="inlineStr">
        <is>
          <t>Operational Function</t>
        </is>
      </c>
      <c r="U3" s="11" t="inlineStr">
        <is>
          <t>Skilled Labors</t>
        </is>
      </c>
      <c r="V3" s="14" t="inlineStr">
        <is>
          <t>Second Level</t>
        </is>
      </c>
      <c r="W3" s="14" t="inlineStr">
        <is>
          <t>Blue Collar</t>
        </is>
      </c>
      <c r="X3" s="14" t="inlineStr">
        <is>
          <t>Blue Collar</t>
        </is>
      </c>
      <c r="Y3" s="15" t="n">
        <v>37591</v>
      </c>
      <c r="Z3" s="16">
        <f>IF(Y3="","",DATEDIF(Y3,IF(AA3&lt;&gt;"",AA3,TODAY()),"Y"))</f>
        <v/>
      </c>
      <c r="AA3" s="17" t="n"/>
      <c r="AB3" s="11" t="inlineStr">
        <is>
          <t>Male</t>
        </is>
      </c>
      <c r="AC3" s="11" t="inlineStr">
        <is>
          <t>Hired</t>
        </is>
      </c>
      <c r="AD3" s="11" t="inlineStr">
        <is>
          <t>Permanent Contract</t>
        </is>
      </c>
      <c r="AE3" s="18" t="n">
        <v>31020</v>
      </c>
      <c r="AF3" s="19">
        <f>MONTH(AE3)</f>
        <v/>
      </c>
      <c r="AG3" s="16">
        <f>IF(AE3="","",DATEDIF(AE3,TODAY(),"Y"))</f>
        <v/>
      </c>
      <c r="AH3" s="20" t="n">
        <v>28412041500931</v>
      </c>
      <c r="AI3" s="21" t="inlineStr">
        <is>
          <t>01000085861</t>
        </is>
      </c>
      <c r="AJ3" s="20" t="n">
        <v>0</v>
      </c>
      <c r="AK3" s="22" t="inlineStr">
        <is>
          <t>NBE</t>
        </is>
      </c>
      <c r="AL3" s="22" t="inlineStr">
        <is>
          <t>Payroll</t>
        </is>
      </c>
      <c r="AM3" s="22" t="inlineStr">
        <is>
          <t>-----------</t>
        </is>
      </c>
      <c r="AN3" s="23" t="n"/>
      <c r="AO3" s="23" t="n"/>
      <c r="AP3" s="24" t="inlineStr">
        <is>
          <t>باسم مبروك شلبى</t>
        </is>
      </c>
      <c r="AQ3" s="24" t="n"/>
      <c r="AR3" s="24" t="inlineStr">
        <is>
          <t>Alaa Abd ElSadek</t>
        </is>
      </c>
    </row>
    <row r="4" ht="42" customHeight="1">
      <c r="A4" s="9" t="n">
        <v>3</v>
      </c>
      <c r="B4" s="9" t="n">
        <v>500025</v>
      </c>
      <c r="C4" s="9" t="inlineStr">
        <is>
          <t>DH</t>
        </is>
      </c>
      <c r="D4" s="10" t="inlineStr">
        <is>
          <t>500025</t>
        </is>
      </c>
      <c r="E4" s="11" t="inlineStr">
        <is>
          <t>Abdel Kareem Ibraheem Amer</t>
        </is>
      </c>
      <c r="F4" s="11" t="inlineStr">
        <is>
          <t>Forman</t>
        </is>
      </c>
      <c r="G4" s="11" t="inlineStr">
        <is>
          <t>Foreman</t>
        </is>
      </c>
      <c r="H4" s="11" t="inlineStr">
        <is>
          <t>Second Level</t>
        </is>
      </c>
      <c r="I4" s="11" t="inlineStr">
        <is>
          <t>Technicians</t>
        </is>
      </c>
      <c r="J4" s="12" t="inlineStr">
        <is>
          <t>LDC</t>
        </is>
      </c>
      <c r="K4" s="13" t="inlineStr">
        <is>
          <t>Trans Gas</t>
        </is>
      </c>
      <c r="L4" s="12" t="inlineStr">
        <is>
          <t>Trans Gas</t>
        </is>
      </c>
      <c r="M4" s="12" t="inlineStr">
        <is>
          <t>LDC</t>
        </is>
      </c>
      <c r="N4" s="12" t="inlineStr">
        <is>
          <t>Kafr El Sheikh</t>
        </is>
      </c>
      <c r="O4" s="12" t="inlineStr">
        <is>
          <t>Desouk – Emergency Center</t>
        </is>
      </c>
      <c r="P4" s="11" t="inlineStr">
        <is>
          <t>Technical</t>
        </is>
      </c>
      <c r="Q4" s="11" t="inlineStr">
        <is>
          <t>Technical</t>
        </is>
      </c>
      <c r="R4" s="11" t="inlineStr">
        <is>
          <t>Operations &amp; Maintenance</t>
        </is>
      </c>
      <c r="S4" s="11" t="inlineStr">
        <is>
          <t>Engineering</t>
        </is>
      </c>
      <c r="T4" s="11" t="inlineStr">
        <is>
          <t>Operational Function</t>
        </is>
      </c>
      <c r="U4" s="11" t="inlineStr">
        <is>
          <t>Skilled Labors</t>
        </is>
      </c>
      <c r="V4" s="14" t="inlineStr">
        <is>
          <t>Second Level</t>
        </is>
      </c>
      <c r="W4" s="14" t="inlineStr">
        <is>
          <t>Blue Collar</t>
        </is>
      </c>
      <c r="X4" s="14" t="inlineStr">
        <is>
          <t>Blue Collar</t>
        </is>
      </c>
      <c r="Y4" s="15" t="n">
        <v>37835</v>
      </c>
      <c r="Z4" s="16">
        <f>IF(Y4="","",DATEDIF(Y4,IF(AA4&lt;&gt;"",AA4,TODAY()),"Y"))</f>
        <v/>
      </c>
      <c r="AA4" s="17" t="n"/>
      <c r="AB4" s="11" t="inlineStr">
        <is>
          <t>Male</t>
        </is>
      </c>
      <c r="AC4" s="11" t="inlineStr">
        <is>
          <t>Hired</t>
        </is>
      </c>
      <c r="AD4" s="11" t="inlineStr">
        <is>
          <t>Permanent Contract</t>
        </is>
      </c>
      <c r="AE4" s="18" t="n">
        <v>28121</v>
      </c>
      <c r="AF4" s="19">
        <f>MONTH(AE4)</f>
        <v/>
      </c>
      <c r="AG4" s="16">
        <f>IF(AE4="","",DATEDIF(AE4,TODAY(),"Y"))</f>
        <v/>
      </c>
      <c r="AH4" s="20" t="n">
        <v>27612271600132</v>
      </c>
      <c r="AI4" s="21" t="inlineStr">
        <is>
          <t>01000086174</t>
        </is>
      </c>
      <c r="AJ4" s="20" t="n">
        <v>0</v>
      </c>
      <c r="AK4" s="22" t="inlineStr">
        <is>
          <t>NBE</t>
        </is>
      </c>
      <c r="AL4" s="22" t="inlineStr">
        <is>
          <t>Payroll</t>
        </is>
      </c>
      <c r="AM4" s="22" t="inlineStr">
        <is>
          <t>-----------</t>
        </is>
      </c>
      <c r="AN4" s="23" t="n"/>
      <c r="AO4" s="23" t="n"/>
      <c r="AP4" s="24" t="inlineStr">
        <is>
          <t>عبد الكريم ابراهيم عامر</t>
        </is>
      </c>
      <c r="AQ4" s="24" t="n"/>
      <c r="AR4" s="24" t="inlineStr">
        <is>
          <t>Alaa Abd ElSadek</t>
        </is>
      </c>
    </row>
    <row r="5" ht="42" customHeight="1">
      <c r="A5" s="9" t="n">
        <v>4</v>
      </c>
      <c r="B5" s="9" t="n">
        <v>500037</v>
      </c>
      <c r="C5" s="9" t="inlineStr">
        <is>
          <t>DH</t>
        </is>
      </c>
      <c r="D5" s="10" t="inlineStr">
        <is>
          <t>500037</t>
        </is>
      </c>
      <c r="E5" s="11" t="inlineStr">
        <is>
          <t>Nasser Ahmed Abd El Kader Farhat</t>
        </is>
      </c>
      <c r="F5" s="11" t="inlineStr">
        <is>
          <t>Assistant Supervisor</t>
        </is>
      </c>
      <c r="G5" s="11" t="inlineStr">
        <is>
          <t>Technician</t>
        </is>
      </c>
      <c r="H5" s="11" t="inlineStr">
        <is>
          <t>Second Level</t>
        </is>
      </c>
      <c r="I5" s="11" t="inlineStr">
        <is>
          <t>Technicians</t>
        </is>
      </c>
      <c r="J5" s="12" t="inlineStr">
        <is>
          <t>LDC</t>
        </is>
      </c>
      <c r="K5" s="13" t="inlineStr">
        <is>
          <t>Trans Gas</t>
        </is>
      </c>
      <c r="L5" s="12" t="inlineStr">
        <is>
          <t>Trans Gas</t>
        </is>
      </c>
      <c r="M5" s="12" t="inlineStr">
        <is>
          <t>LDC</t>
        </is>
      </c>
      <c r="N5" s="12" t="inlineStr">
        <is>
          <t>Kafr El Sheikh</t>
        </is>
      </c>
      <c r="O5" s="12" t="inlineStr">
        <is>
          <t>Desouk – Emergency Center</t>
        </is>
      </c>
      <c r="P5" s="11" t="inlineStr">
        <is>
          <t>Technical</t>
        </is>
      </c>
      <c r="Q5" s="11" t="inlineStr">
        <is>
          <t>Technical</t>
        </is>
      </c>
      <c r="R5" s="11" t="inlineStr">
        <is>
          <t>Emergency</t>
        </is>
      </c>
      <c r="S5" s="11" t="inlineStr">
        <is>
          <t>Engineering</t>
        </is>
      </c>
      <c r="T5" s="11" t="inlineStr">
        <is>
          <t>Operational Function</t>
        </is>
      </c>
      <c r="U5" s="11" t="inlineStr">
        <is>
          <t>Skilled Labors</t>
        </is>
      </c>
      <c r="V5" s="14" t="inlineStr">
        <is>
          <t>Second Level</t>
        </is>
      </c>
      <c r="W5" s="14" t="inlineStr">
        <is>
          <t>Blue Collar</t>
        </is>
      </c>
      <c r="X5" s="14" t="inlineStr">
        <is>
          <t>Blue Collar</t>
        </is>
      </c>
      <c r="Y5" s="15" t="n">
        <v>36281</v>
      </c>
      <c r="Z5" s="16">
        <f>IF(Y5="","",DATEDIF(Y5,IF(AA5&lt;&gt;"",AA5,TODAY()),"Y"))</f>
        <v/>
      </c>
      <c r="AA5" s="17" t="n"/>
      <c r="AB5" s="11" t="inlineStr">
        <is>
          <t>Male</t>
        </is>
      </c>
      <c r="AC5" s="11" t="inlineStr">
        <is>
          <t>Hired</t>
        </is>
      </c>
      <c r="AD5" s="11" t="inlineStr">
        <is>
          <t>Permanent Contract</t>
        </is>
      </c>
      <c r="AE5" s="18" t="n">
        <v>26994</v>
      </c>
      <c r="AF5" s="19">
        <f>MONTH(AE5)</f>
        <v/>
      </c>
      <c r="AG5" s="16">
        <f>IF(AE5="","",DATEDIF(AE5,TODAY(),"Y"))</f>
        <v/>
      </c>
      <c r="AH5" s="20" t="n">
        <v>27809151701251</v>
      </c>
      <c r="AI5" s="21" t="inlineStr">
        <is>
          <t>01000097059</t>
        </is>
      </c>
      <c r="AJ5" s="20" t="n">
        <v>0</v>
      </c>
      <c r="AK5" s="22" t="inlineStr">
        <is>
          <t>NBE</t>
        </is>
      </c>
      <c r="AL5" s="22" t="inlineStr">
        <is>
          <t>Payroll</t>
        </is>
      </c>
      <c r="AM5" s="22" t="inlineStr">
        <is>
          <t>-----------</t>
        </is>
      </c>
      <c r="AN5" s="23" t="n"/>
      <c r="AO5" s="23" t="n"/>
      <c r="AP5" s="24" t="inlineStr">
        <is>
          <t>ناصر احمد عبد القادر فرحات</t>
        </is>
      </c>
      <c r="AQ5" s="24" t="n"/>
      <c r="AR5" s="24" t="inlineStr">
        <is>
          <t>Alaa Abd ElSadek</t>
        </is>
      </c>
    </row>
    <row r="6" ht="42" customHeight="1">
      <c r="A6" s="9" t="n">
        <v>5</v>
      </c>
      <c r="B6" s="9" t="n">
        <v>500051</v>
      </c>
      <c r="C6" s="9" t="inlineStr">
        <is>
          <t>DH</t>
        </is>
      </c>
      <c r="D6" s="10" t="inlineStr">
        <is>
          <t>500051</t>
        </is>
      </c>
      <c r="E6" s="11" t="inlineStr">
        <is>
          <t>Mohamed Ahmed Abdel Aziz</t>
        </is>
      </c>
      <c r="F6" s="11" t="inlineStr">
        <is>
          <t>Senior Receptionist</t>
        </is>
      </c>
      <c r="G6" s="11" t="inlineStr">
        <is>
          <t>Senior Supervisor</t>
        </is>
      </c>
      <c r="H6" s="11" t="inlineStr">
        <is>
          <t>Second Level</t>
        </is>
      </c>
      <c r="I6" s="11" t="inlineStr">
        <is>
          <t xml:space="preserve">Front Office </t>
        </is>
      </c>
      <c r="J6" s="12" t="inlineStr">
        <is>
          <t>LDC</t>
        </is>
      </c>
      <c r="K6" s="13" t="inlineStr">
        <is>
          <t>Trans Gas</t>
        </is>
      </c>
      <c r="L6" s="12" t="inlineStr">
        <is>
          <t>Trans Gas</t>
        </is>
      </c>
      <c r="M6" s="12" t="inlineStr">
        <is>
          <t>LDC</t>
        </is>
      </c>
      <c r="N6" s="12" t="inlineStr">
        <is>
          <t>Kafr El Sheikh</t>
        </is>
      </c>
      <c r="O6" s="12" t="inlineStr">
        <is>
          <t>Kafr El Sheikh – Emergency Center</t>
        </is>
      </c>
      <c r="P6" s="11" t="inlineStr">
        <is>
          <t>Technical</t>
        </is>
      </c>
      <c r="Q6" s="11" t="inlineStr">
        <is>
          <t>Technical</t>
        </is>
      </c>
      <c r="R6" s="11" t="inlineStr">
        <is>
          <t>Domestic Customer Service</t>
        </is>
      </c>
      <c r="S6" s="11" t="inlineStr">
        <is>
          <t>Engineering</t>
        </is>
      </c>
      <c r="T6" s="11" t="inlineStr">
        <is>
          <t>Operational Function</t>
        </is>
      </c>
      <c r="U6" s="11" t="inlineStr">
        <is>
          <t>Skilled Labors</t>
        </is>
      </c>
      <c r="V6" s="14" t="inlineStr">
        <is>
          <t>Second Level</t>
        </is>
      </c>
      <c r="W6" s="14" t="inlineStr">
        <is>
          <t>Blue Collar</t>
        </is>
      </c>
      <c r="X6" s="14" t="inlineStr">
        <is>
          <t>Blue Collar</t>
        </is>
      </c>
      <c r="Y6" s="15" t="n">
        <v>38718</v>
      </c>
      <c r="Z6" s="16">
        <f>IF(Y6="","",DATEDIF(Y6,IF(AA6&lt;&gt;"",AA6,TODAY()),"Y"))</f>
        <v/>
      </c>
      <c r="AA6" s="17" t="n"/>
      <c r="AB6" s="11" t="inlineStr">
        <is>
          <t>Male</t>
        </is>
      </c>
      <c r="AC6" s="11" t="inlineStr">
        <is>
          <t>Hired</t>
        </is>
      </c>
      <c r="AD6" s="11" t="inlineStr">
        <is>
          <t>Permanent Contract</t>
        </is>
      </c>
      <c r="AE6" s="18" t="n">
        <v>31229</v>
      </c>
      <c r="AF6" s="19">
        <f>MONTH(AE6)</f>
        <v/>
      </c>
      <c r="AG6" s="16">
        <f>IF(AE6="","",DATEDIF(AE6,TODAY(),"Y"))</f>
        <v/>
      </c>
      <c r="AH6" s="20" t="n">
        <v>28507011600177</v>
      </c>
      <c r="AI6" s="21" t="inlineStr">
        <is>
          <t>01000086284</t>
        </is>
      </c>
      <c r="AJ6" s="20" t="n">
        <v>0</v>
      </c>
      <c r="AK6" s="22" t="inlineStr">
        <is>
          <t>NBE</t>
        </is>
      </c>
      <c r="AL6" s="22" t="inlineStr">
        <is>
          <t>Personal</t>
        </is>
      </c>
      <c r="AM6" s="22" t="inlineStr">
        <is>
          <t>3965001015655301019</t>
        </is>
      </c>
      <c r="AN6" s="23" t="n"/>
      <c r="AO6" s="23" t="n"/>
      <c r="AP6" s="24" t="inlineStr">
        <is>
          <t>محمد احمد عبد العزيز</t>
        </is>
      </c>
      <c r="AQ6" s="24" t="n"/>
      <c r="AR6" s="24" t="inlineStr">
        <is>
          <t>Alaa Abd ElSadek</t>
        </is>
      </c>
    </row>
    <row r="7" ht="31.5" customHeight="1">
      <c r="A7" s="9" t="n">
        <v>6</v>
      </c>
      <c r="B7" s="9" t="n">
        <v>500080</v>
      </c>
      <c r="C7" s="9" t="inlineStr">
        <is>
          <t>DH</t>
        </is>
      </c>
      <c r="D7" s="10" t="inlineStr">
        <is>
          <t>500080</t>
        </is>
      </c>
      <c r="E7" s="11" t="inlineStr">
        <is>
          <t>Ali Abdel Salam Ali Osman</t>
        </is>
      </c>
      <c r="F7" s="11" t="inlineStr">
        <is>
          <t>Emergency Fitter</t>
        </is>
      </c>
      <c r="G7" s="11" t="inlineStr">
        <is>
          <t>Technician</t>
        </is>
      </c>
      <c r="H7" s="11" t="inlineStr">
        <is>
          <t>Second Level</t>
        </is>
      </c>
      <c r="I7" s="11" t="inlineStr">
        <is>
          <t>Technicians</t>
        </is>
      </c>
      <c r="J7" s="12" t="inlineStr">
        <is>
          <t>LDC</t>
        </is>
      </c>
      <c r="K7" s="13" t="inlineStr">
        <is>
          <t>Trans Gas</t>
        </is>
      </c>
      <c r="L7" s="12" t="inlineStr">
        <is>
          <t>Trans Gas</t>
        </is>
      </c>
      <c r="M7" s="12" t="inlineStr">
        <is>
          <t>LDC</t>
        </is>
      </c>
      <c r="N7" s="12" t="inlineStr">
        <is>
          <t>Kafr El Sheikh</t>
        </is>
      </c>
      <c r="O7" s="12" t="inlineStr">
        <is>
          <t>Hamoul – Emergency Center &amp; PRS</t>
        </is>
      </c>
      <c r="P7" s="11" t="inlineStr">
        <is>
          <t>Technical</t>
        </is>
      </c>
      <c r="Q7" s="11" t="inlineStr">
        <is>
          <t>Technical</t>
        </is>
      </c>
      <c r="R7" s="11" t="inlineStr">
        <is>
          <t>Emergency</t>
        </is>
      </c>
      <c r="S7" s="11" t="inlineStr">
        <is>
          <t>Engineering</t>
        </is>
      </c>
      <c r="T7" s="11" t="inlineStr">
        <is>
          <t>Operational Function</t>
        </is>
      </c>
      <c r="U7" s="11" t="inlineStr">
        <is>
          <t>Skilled Labors</t>
        </is>
      </c>
      <c r="V7" s="14" t="inlineStr">
        <is>
          <t>Second Level</t>
        </is>
      </c>
      <c r="W7" s="14" t="inlineStr">
        <is>
          <t>Blue Collar</t>
        </is>
      </c>
      <c r="X7" s="14" t="inlineStr">
        <is>
          <t>Blue Collar</t>
        </is>
      </c>
      <c r="Y7" s="15" t="n">
        <v>39217</v>
      </c>
      <c r="Z7" s="16">
        <f>IF(Y7="","",DATEDIF(Y7,IF(AA7&lt;&gt;"",AA7,TODAY()),"Y"))</f>
        <v/>
      </c>
      <c r="AA7" s="17" t="n"/>
      <c r="AB7" s="11" t="inlineStr">
        <is>
          <t>Male</t>
        </is>
      </c>
      <c r="AC7" s="11" t="inlineStr">
        <is>
          <t>Hired</t>
        </is>
      </c>
      <c r="AD7" s="11" t="inlineStr">
        <is>
          <t>Permanent Contract</t>
        </is>
      </c>
      <c r="AE7" s="18" t="n">
        <v>29254</v>
      </c>
      <c r="AF7" s="19">
        <f>MONTH(AE7)</f>
        <v/>
      </c>
      <c r="AG7" s="16">
        <f>IF(AE7="","",DATEDIF(AE7,TODAY(),"Y"))</f>
        <v/>
      </c>
      <c r="AH7" s="20" t="n">
        <v>28002031500531</v>
      </c>
      <c r="AI7" s="21" t="inlineStr">
        <is>
          <t>01019409700</t>
        </is>
      </c>
      <c r="AJ7" s="20" t="n">
        <v>0</v>
      </c>
      <c r="AK7" s="22" t="inlineStr">
        <is>
          <t>NBE</t>
        </is>
      </c>
      <c r="AL7" s="22" t="inlineStr">
        <is>
          <t>Personal</t>
        </is>
      </c>
      <c r="AM7" s="22" t="inlineStr">
        <is>
          <t>3963010196314200018</t>
        </is>
      </c>
      <c r="AN7" s="23" t="n"/>
      <c r="AO7" s="23" t="n"/>
      <c r="AP7" s="24" t="inlineStr">
        <is>
          <t>علي عبد السلام علي عثمان</t>
        </is>
      </c>
      <c r="AQ7" s="24" t="n"/>
      <c r="AR7" s="24" t="inlineStr">
        <is>
          <t>Alaa Abd ElSadek</t>
        </is>
      </c>
    </row>
  </sheetData>
  <conditionalFormatting sqref="A1:P1 A2:AI7 AK2:AR7">
    <cfRule type="containsText" priority="5" operator="containsText" dxfId="0" text="C-level">
      <formula>NOT(ISERROR(SEARCH("C-level",A1)))</formula>
    </cfRule>
    <cfRule type="containsText" priority="7" operator="containsText" dxfId="9" text="Middle Management">
      <formula>NOT(ISERROR(SEARCH("Middle Management",A1)))</formula>
    </cfRule>
    <cfRule type="containsText" priority="4" operator="containsText" dxfId="10" text="Blue Collar">
      <formula>NOT(ISERROR(SEARCH("Blue Collar",A1)))</formula>
    </cfRule>
  </conditionalFormatting>
  <conditionalFormatting sqref="A1:AJ1 AP1:AR1">
    <cfRule type="cellIs" priority="46" operator="equal" dxfId="50">
      <formula>"CV"</formula>
    </cfRule>
  </conditionalFormatting>
  <conditionalFormatting sqref="D1:D7">
    <cfRule type="duplicateValues" priority="51" dxfId="44"/>
    <cfRule type="duplicateValues" priority="52" dxfId="44"/>
    <cfRule type="duplicateValues" priority="53" dxfId="44"/>
  </conditionalFormatting>
  <conditionalFormatting sqref="E1:E7">
    <cfRule type="duplicateValues" priority="48" dxfId="44"/>
    <cfRule type="duplicateValues" priority="49" dxfId="44"/>
    <cfRule type="duplicateValues" priority="50" dxfId="44"/>
  </conditionalFormatting>
  <conditionalFormatting sqref="E2:X7 AB2:AD7">
    <cfRule type="cellIs" priority="22" operator="equal" dxfId="43">
      <formula>"Female"</formula>
    </cfRule>
    <cfRule type="cellIs" priority="23" operator="equal" dxfId="42">
      <formula>"White Collars"</formula>
    </cfRule>
    <cfRule type="cellIs" priority="24" operator="equal" dxfId="41">
      <formula>"Workers"</formula>
    </cfRule>
    <cfRule type="cellIs" priority="25" operator="equal" dxfId="40">
      <formula>"Managers"</formula>
    </cfRule>
  </conditionalFormatting>
  <conditionalFormatting sqref="Q1:AR1">
    <cfRule type="containsText" priority="21" operator="containsText" dxfId="10" text="Blue Collar">
      <formula>NOT(ISERROR(SEARCH("Blue Collar",Q1)))</formula>
    </cfRule>
    <cfRule type="containsText" priority="26" operator="containsText" dxfId="9" text="Middle Management">
      <formula>NOT(ISERROR(SEARCH("Middle Management",Q1)))</formula>
    </cfRule>
    <cfRule type="containsText" priority="27" operator="containsText" dxfId="0" text="C-level">
      <formula>NOT(ISERROR(SEARCH("C-level",Q1)))</formula>
    </cfRule>
  </conditionalFormatting>
  <conditionalFormatting sqref="V1:V7">
    <cfRule type="containsText" priority="38" operator="containsText" dxfId="21" text="Casual Labour">
      <formula>NOT(ISERROR(SEARCH("Casual Labour",V1)))</formula>
    </cfRule>
    <cfRule type="containsText" priority="41" operator="containsText" dxfId="15" text="First Level">
      <formula>NOT(ISERROR(SEARCH("First Level",V1)))</formula>
    </cfRule>
    <cfRule type="containsText" priority="44" operator="containsText" dxfId="9" text="Top Management">
      <formula>NOT(ISERROR(SEARCH("Top Management",V1)))</formula>
    </cfRule>
    <cfRule type="containsText" priority="45" operator="containsText" dxfId="10" text="Second Level">
      <formula>NOT(ISERROR(SEARCH("Second Level",V1)))</formula>
    </cfRule>
  </conditionalFormatting>
  <conditionalFormatting sqref="V2:V7">
    <cfRule type="containsText" priority="8" operator="containsText" dxfId="24" text="Directors">
      <formula>NOT(ISERROR(SEARCH("Directors",V2)))</formula>
    </cfRule>
    <cfRule type="containsText" priority="9" operator="containsText" dxfId="23" text="GM">
      <formula>NOT(ISERROR(SEARCH("GM",V2)))</formula>
    </cfRule>
    <cfRule type="containsText" priority="10" operator="containsText" dxfId="9" text="Manager">
      <formula>NOT(ISERROR(SEARCH("Manager",V2)))</formula>
    </cfRule>
    <cfRule type="containsText" priority="11" operator="containsText" dxfId="15" text="White Collar">
      <formula>NOT(ISERROR(SEARCH("White Collar",V2)))</formula>
    </cfRule>
    <cfRule type="containsText" priority="12" operator="containsText" dxfId="9" text="C-level">
      <formula>NOT(ISERROR(SEARCH("C-level",V2)))</formula>
    </cfRule>
    <cfRule type="containsText" priority="13" operator="containsText" dxfId="9" text="Manager">
      <formula>NOT(ISERROR(SEARCH("Manager",V2)))</formula>
    </cfRule>
    <cfRule type="containsText" priority="14" operator="containsText" dxfId="15" text="White Collar">
      <formula>NOT(ISERROR(SEARCH("White Collar",V2)))</formula>
    </cfRule>
    <cfRule type="containsText" priority="15" operator="containsText" dxfId="10" text="Blue Collar">
      <formula>NOT(ISERROR(SEARCH("Blue Collar",V2)))</formula>
    </cfRule>
  </conditionalFormatting>
  <conditionalFormatting sqref="W1:W7">
    <cfRule type="containsText" priority="2" operator="containsText" dxfId="24" text="Directors">
      <formula>NOT(ISERROR(SEARCH("Directors",W1)))</formula>
    </cfRule>
    <cfRule type="containsText" priority="3" operator="containsText" dxfId="23" text="GM">
      <formula>NOT(ISERROR(SEARCH("GM",W1)))</formula>
    </cfRule>
  </conditionalFormatting>
  <conditionalFormatting sqref="W2:W7">
    <cfRule type="containsText" priority="1" operator="containsText" dxfId="9" text="Manager">
      <formula>NOT(ISERROR(SEARCH("Manager",W2)))</formula>
    </cfRule>
    <cfRule type="containsText" priority="16" operator="containsText" dxfId="21" text="Casual Labour">
      <formula>NOT(ISERROR(SEARCH("Casual Labour",W2)))</formula>
    </cfRule>
    <cfRule type="containsText" priority="17" operator="containsText" dxfId="15" text="First Level">
      <formula>NOT(ISERROR(SEARCH("First Level",W2)))</formula>
    </cfRule>
    <cfRule type="containsText" priority="18" operator="containsText" dxfId="9" text="Top Management">
      <formula>NOT(ISERROR(SEARCH("Top Management",W2)))</formula>
    </cfRule>
    <cfRule type="containsText" priority="19" operator="containsText" dxfId="10" text="Second Level">
      <formula>NOT(ISERROR(SEARCH("Second Level",W2)))</formula>
    </cfRule>
  </conditionalFormatting>
  <conditionalFormatting sqref="W1:X7">
    <cfRule type="containsText" priority="32" operator="containsText" dxfId="9" text="C-level">
      <formula>NOT(ISERROR(SEARCH("C-level",W1)))</formula>
    </cfRule>
    <cfRule type="containsText" priority="33" operator="containsText" dxfId="9" text="Manager">
      <formula>NOT(ISERROR(SEARCH("Manager",W1)))</formula>
    </cfRule>
  </conditionalFormatting>
  <conditionalFormatting sqref="W2:X7">
    <cfRule type="containsText" priority="36" operator="containsText" dxfId="15" text="White Collar">
      <formula>NOT(ISERROR(SEARCH("White Collar",W2)))</formula>
    </cfRule>
    <cfRule type="containsText" priority="37" operator="containsText" dxfId="10" text="Blue Collar">
      <formula>NOT(ISERROR(SEARCH("Blue Collar",W2)))</formula>
    </cfRule>
  </conditionalFormatting>
  <conditionalFormatting sqref="W1:X1">
    <cfRule type="containsText" priority="34" operator="containsText" dxfId="9" text="Top Management">
      <formula>NOT(ISERROR(SEARCH("Top Management",W1)))</formula>
    </cfRule>
    <cfRule type="containsText" priority="35" operator="containsText" dxfId="10" text="Second Level">
      <formula>NOT(ISERROR(SEARCH("Second Level",W1)))</formula>
    </cfRule>
  </conditionalFormatting>
  <conditionalFormatting sqref="X1">
    <cfRule type="containsText" priority="42" operator="containsText" dxfId="9" text="Top Management">
      <formula>NOT(ISERROR(SEARCH("Top Management",X1)))</formula>
    </cfRule>
    <cfRule type="containsText" priority="43" operator="containsText" dxfId="10" text="Second Level">
      <formula>NOT(ISERROR(SEARCH("Second Level",X1)))</formula>
    </cfRule>
  </conditionalFormatting>
  <conditionalFormatting sqref="X1:X7">
    <cfRule type="containsText" priority="20" operator="containsText" dxfId="9" text="Manager">
      <formula>NOT(ISERROR(SEARCH("Manager",X1)))</formula>
    </cfRule>
  </conditionalFormatting>
  <conditionalFormatting sqref="AK1:AL7">
    <cfRule type="containsText" priority="28" operator="containsText" dxfId="8" text="CIB">
      <formula>NOT(ISERROR(SEARCH("CIB",AK1)))</formula>
    </cfRule>
    <cfRule type="containsText" priority="29" operator="containsText" dxfId="7" text="QNB">
      <formula>NOT(ISERROR(SEARCH("QNB",AK1)))</formula>
    </cfRule>
    <cfRule type="containsText" priority="30" operator="containsText" dxfId="6" text="NBE">
      <formula>NOT(ISERROR(SEARCH("NBE",AK1)))</formula>
    </cfRule>
    <cfRule type="containsText" priority="31" operator="containsText" dxfId="5" text="HSBC">
      <formula>NOT(ISERROR(SEARCH("HSBC",AK1)))</formula>
    </cfRule>
  </conditionalFormatting>
  <conditionalFormatting sqref="AN1:AO1">
    <cfRule type="cellIs" priority="40" operator="greaterThan" dxfId="4">
      <formula>0</formula>
    </cfRule>
  </conditionalFormatting>
  <conditionalFormatting sqref="AN1:AO7">
    <cfRule type="cellIs" priority="39" operator="greaterThanOrEqual" dxfId="3">
      <formula>1</formula>
    </cfRule>
    <cfRule type="containsBlanks" priority="47" dxfId="2">
      <formula>LEN(TRIM(AN1))=0</formula>
    </cfRule>
  </conditionalFormatting>
  <conditionalFormatting sqref="AQ2:AQ7">
    <cfRule type="containsBlanks" priority="6" dxfId="1">
      <formula>LEN(TRIM(AQ2))=0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EL Fangary, TAQA Gas</dc:creator>
  <dcterms:created xsi:type="dcterms:W3CDTF">2026-09-29T12:04:37Z</dcterms:created>
  <dcterms:modified xsi:type="dcterms:W3CDTF">2026-10-01T06:44:31Z</dcterms:modified>
  <cp:lastModifiedBy>Mohamed EL Fangary, TAQA Gas</cp:lastModifiedBy>
</cp:coreProperties>
</file>